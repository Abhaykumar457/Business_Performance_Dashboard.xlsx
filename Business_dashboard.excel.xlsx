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rasunchoudhary/Documents/Documents - PRASUN/2Startup/1AzislyAI/Sales/AzislySales/Azisly Impact Sprint/Course Content/Batches/Batch2/Session 5/"/>
    </mc:Choice>
  </mc:AlternateContent>
  <xr:revisionPtr revIDLastSave="0" documentId="13_ncr:1_{CC71DD62-5027-8C4F-8E8B-2D156E1A6879}" xr6:coauthVersionLast="47" xr6:coauthVersionMax="47" xr10:uidLastSave="{00000000-0000-0000-0000-000000000000}"/>
  <bookViews>
    <workbookView xWindow="0" yWindow="600" windowWidth="26320" windowHeight="16160" tabRatio="500" activeTab="2" xr2:uid="{00000000-000D-0000-FFFF-FFFF00000000}"/>
  </bookViews>
  <sheets>
    <sheet name="Monthly P&amp;L" sheetId="1" r:id="rId1"/>
    <sheet name="Budget vs Actuals" sheetId="2" r:id="rId2"/>
    <sheet name="Cash Flow &amp; Burn Rat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5" i="3" l="1"/>
  <c r="L15" i="3"/>
  <c r="K15" i="3"/>
  <c r="J15" i="3"/>
  <c r="I15" i="3"/>
  <c r="H15" i="3"/>
  <c r="G15" i="3"/>
  <c r="F15" i="3"/>
  <c r="E15" i="3"/>
  <c r="D15" i="3"/>
  <c r="C15" i="3"/>
  <c r="B15" i="3"/>
  <c r="N14" i="3"/>
  <c r="N13" i="3"/>
  <c r="N12" i="3"/>
  <c r="N11" i="3"/>
  <c r="N10" i="3"/>
  <c r="N9" i="3"/>
  <c r="M7" i="3"/>
  <c r="M16" i="3" s="1"/>
  <c r="L7" i="3"/>
  <c r="L16" i="3" s="1"/>
  <c r="K7" i="3"/>
  <c r="K16" i="3" s="1"/>
  <c r="J7" i="3"/>
  <c r="J16" i="3" s="1"/>
  <c r="I7" i="3"/>
  <c r="I16" i="3" s="1"/>
  <c r="H7" i="3"/>
  <c r="H16" i="3" s="1"/>
  <c r="G7" i="3"/>
  <c r="G16" i="3" s="1"/>
  <c r="F7" i="3"/>
  <c r="F16" i="3" s="1"/>
  <c r="E7" i="3"/>
  <c r="E16" i="3" s="1"/>
  <c r="D7" i="3"/>
  <c r="D16" i="3" s="1"/>
  <c r="C7" i="3"/>
  <c r="C16" i="3" s="1"/>
  <c r="B7" i="3"/>
  <c r="N6" i="3"/>
  <c r="N5" i="3"/>
  <c r="N4" i="3"/>
  <c r="F63" i="2"/>
  <c r="G63" i="2" s="1"/>
  <c r="E63" i="2"/>
  <c r="F62" i="2"/>
  <c r="G62" i="2" s="1"/>
  <c r="E62" i="2"/>
  <c r="F61" i="2"/>
  <c r="G61" i="2" s="1"/>
  <c r="E61" i="2"/>
  <c r="F60" i="2"/>
  <c r="G60" i="2" s="1"/>
  <c r="E60" i="2"/>
  <c r="F59" i="2"/>
  <c r="G59" i="2" s="1"/>
  <c r="E59" i="2"/>
  <c r="G58" i="2"/>
  <c r="F58" i="2"/>
  <c r="E58" i="2"/>
  <c r="F57" i="2"/>
  <c r="G57" i="2" s="1"/>
  <c r="E57" i="2"/>
  <c r="F56" i="2"/>
  <c r="G56" i="2" s="1"/>
  <c r="E56" i="2"/>
  <c r="F55" i="2"/>
  <c r="G55" i="2" s="1"/>
  <c r="E55" i="2"/>
  <c r="F54" i="2"/>
  <c r="G54" i="2" s="1"/>
  <c r="E54" i="2"/>
  <c r="F53" i="2"/>
  <c r="G53" i="2" s="1"/>
  <c r="E53" i="2"/>
  <c r="F52" i="2"/>
  <c r="G52" i="2" s="1"/>
  <c r="E52" i="2"/>
  <c r="F51" i="2"/>
  <c r="G51" i="2" s="1"/>
  <c r="E51" i="2"/>
  <c r="F50" i="2"/>
  <c r="G50" i="2" s="1"/>
  <c r="E50" i="2"/>
  <c r="F49" i="2"/>
  <c r="G49" i="2" s="1"/>
  <c r="E49" i="2"/>
  <c r="F48" i="2"/>
  <c r="G48" i="2" s="1"/>
  <c r="E48" i="2"/>
  <c r="F47" i="2"/>
  <c r="G47" i="2" s="1"/>
  <c r="E47" i="2"/>
  <c r="F46" i="2"/>
  <c r="G46" i="2" s="1"/>
  <c r="E46" i="2"/>
  <c r="F45" i="2"/>
  <c r="G45" i="2" s="1"/>
  <c r="E45" i="2"/>
  <c r="F44" i="2"/>
  <c r="G44" i="2" s="1"/>
  <c r="E44" i="2"/>
  <c r="F43" i="2"/>
  <c r="G43" i="2" s="1"/>
  <c r="E43" i="2"/>
  <c r="F42" i="2"/>
  <c r="G42" i="2" s="1"/>
  <c r="E42" i="2"/>
  <c r="F41" i="2"/>
  <c r="G41" i="2" s="1"/>
  <c r="E41" i="2"/>
  <c r="F40" i="2"/>
  <c r="G40" i="2" s="1"/>
  <c r="E40" i="2"/>
  <c r="F39" i="2"/>
  <c r="G39" i="2" s="1"/>
  <c r="E39" i="2"/>
  <c r="F38" i="2"/>
  <c r="G38" i="2" s="1"/>
  <c r="E38" i="2"/>
  <c r="F37" i="2"/>
  <c r="G37" i="2" s="1"/>
  <c r="E37" i="2"/>
  <c r="F36" i="2"/>
  <c r="G36" i="2" s="1"/>
  <c r="E36" i="2"/>
  <c r="F35" i="2"/>
  <c r="G35" i="2" s="1"/>
  <c r="E35" i="2"/>
  <c r="F34" i="2"/>
  <c r="G34" i="2" s="1"/>
  <c r="E34" i="2"/>
  <c r="F33" i="2"/>
  <c r="G33" i="2" s="1"/>
  <c r="E33" i="2"/>
  <c r="F32" i="2"/>
  <c r="G32" i="2" s="1"/>
  <c r="E32" i="2"/>
  <c r="F31" i="2"/>
  <c r="G31" i="2" s="1"/>
  <c r="E31" i="2"/>
  <c r="F30" i="2"/>
  <c r="G30" i="2" s="1"/>
  <c r="E30" i="2"/>
  <c r="F29" i="2"/>
  <c r="G29" i="2" s="1"/>
  <c r="E29" i="2"/>
  <c r="F28" i="2"/>
  <c r="G28" i="2" s="1"/>
  <c r="E28" i="2"/>
  <c r="F27" i="2"/>
  <c r="G27" i="2" s="1"/>
  <c r="E27" i="2"/>
  <c r="F26" i="2"/>
  <c r="G26" i="2" s="1"/>
  <c r="E26" i="2"/>
  <c r="F25" i="2"/>
  <c r="G25" i="2" s="1"/>
  <c r="E25" i="2"/>
  <c r="F24" i="2"/>
  <c r="G24" i="2" s="1"/>
  <c r="E24" i="2"/>
  <c r="F23" i="2"/>
  <c r="G23" i="2" s="1"/>
  <c r="E23" i="2"/>
  <c r="F22" i="2"/>
  <c r="G22" i="2" s="1"/>
  <c r="E22" i="2"/>
  <c r="F21" i="2"/>
  <c r="G21" i="2" s="1"/>
  <c r="E21" i="2"/>
  <c r="F20" i="2"/>
  <c r="G20" i="2" s="1"/>
  <c r="E20" i="2"/>
  <c r="F19" i="2"/>
  <c r="G19" i="2" s="1"/>
  <c r="E19" i="2"/>
  <c r="F18" i="2"/>
  <c r="G18" i="2" s="1"/>
  <c r="E18" i="2"/>
  <c r="F17" i="2"/>
  <c r="G17" i="2" s="1"/>
  <c r="E17" i="2"/>
  <c r="F16" i="2"/>
  <c r="G16" i="2" s="1"/>
  <c r="E16" i="2"/>
  <c r="F15" i="2"/>
  <c r="G15" i="2" s="1"/>
  <c r="E15" i="2"/>
  <c r="F14" i="2"/>
  <c r="G14" i="2" s="1"/>
  <c r="E14" i="2"/>
  <c r="F13" i="2"/>
  <c r="G13" i="2" s="1"/>
  <c r="E13" i="2"/>
  <c r="F12" i="2"/>
  <c r="G12" i="2" s="1"/>
  <c r="E12" i="2"/>
  <c r="F11" i="2"/>
  <c r="G11" i="2" s="1"/>
  <c r="E11" i="2"/>
  <c r="F10" i="2"/>
  <c r="G10" i="2" s="1"/>
  <c r="E10" i="2"/>
  <c r="F9" i="2"/>
  <c r="G9" i="2" s="1"/>
  <c r="E9" i="2"/>
  <c r="F8" i="2"/>
  <c r="G8" i="2" s="1"/>
  <c r="E8" i="2"/>
  <c r="F7" i="2"/>
  <c r="G7" i="2" s="1"/>
  <c r="E7" i="2"/>
  <c r="F6" i="2"/>
  <c r="G6" i="2" s="1"/>
  <c r="E6" i="2"/>
  <c r="F5" i="2"/>
  <c r="G5" i="2" s="1"/>
  <c r="E5" i="2"/>
  <c r="F4" i="2"/>
  <c r="G4" i="2" s="1"/>
  <c r="E4" i="2"/>
  <c r="N26" i="1"/>
  <c r="M23" i="1"/>
  <c r="L23" i="1"/>
  <c r="K23" i="1"/>
  <c r="J23" i="1"/>
  <c r="I23" i="1"/>
  <c r="H23" i="1"/>
  <c r="G23" i="1"/>
  <c r="F23" i="1"/>
  <c r="E23" i="1"/>
  <c r="D23" i="1"/>
  <c r="C23" i="1"/>
  <c r="B23" i="1"/>
  <c r="N23" i="1" s="1"/>
  <c r="N22" i="1"/>
  <c r="N21" i="1"/>
  <c r="N20" i="1"/>
  <c r="N19" i="1"/>
  <c r="N18" i="1"/>
  <c r="M13" i="1"/>
  <c r="L13" i="1"/>
  <c r="K13" i="1"/>
  <c r="J13" i="1"/>
  <c r="I13" i="1"/>
  <c r="H13" i="1"/>
  <c r="G13" i="1"/>
  <c r="F13" i="1"/>
  <c r="E13" i="1"/>
  <c r="D13" i="1"/>
  <c r="C13" i="1"/>
  <c r="B13" i="1"/>
  <c r="N13" i="1" s="1"/>
  <c r="N12" i="1"/>
  <c r="N11" i="1"/>
  <c r="M8" i="1"/>
  <c r="L8" i="1"/>
  <c r="K8" i="1"/>
  <c r="J8" i="1"/>
  <c r="I8" i="1"/>
  <c r="H8" i="1"/>
  <c r="G8" i="1"/>
  <c r="F8" i="1"/>
  <c r="E8" i="1"/>
  <c r="D8" i="1"/>
  <c r="C8" i="1"/>
  <c r="B8" i="1"/>
  <c r="N7" i="1"/>
  <c r="N6" i="1"/>
  <c r="N5" i="1"/>
  <c r="M18" i="3" l="1"/>
  <c r="L18" i="3"/>
  <c r="K18" i="3"/>
  <c r="J18" i="3"/>
  <c r="I18" i="3"/>
  <c r="H18" i="3"/>
  <c r="G18" i="3"/>
  <c r="F18" i="3"/>
  <c r="E18" i="3"/>
  <c r="D18" i="3"/>
  <c r="C18" i="3"/>
  <c r="B18" i="3"/>
  <c r="N15" i="3"/>
  <c r="B16" i="3"/>
  <c r="N7" i="3"/>
  <c r="M14" i="1"/>
  <c r="L14" i="1"/>
  <c r="K14" i="1"/>
  <c r="J14" i="1"/>
  <c r="I14" i="1"/>
  <c r="H14" i="1"/>
  <c r="G14" i="1"/>
  <c r="G24" i="1" s="1"/>
  <c r="G25" i="1" s="1"/>
  <c r="G15" i="1"/>
  <c r="F14" i="1"/>
  <c r="E14" i="1"/>
  <c r="D14" i="1"/>
  <c r="C14" i="1"/>
  <c r="B14" i="1"/>
  <c r="B15" i="1" s="1"/>
  <c r="N8" i="1"/>
  <c r="H24" i="1" l="1"/>
  <c r="H25" i="1" s="1"/>
  <c r="H15" i="1"/>
  <c r="N16" i="3"/>
  <c r="B17" i="3"/>
  <c r="M15" i="1"/>
  <c r="M24" i="1"/>
  <c r="L15" i="1"/>
  <c r="L24" i="1"/>
  <c r="K15" i="1"/>
  <c r="K24" i="1"/>
  <c r="J15" i="1"/>
  <c r="J24" i="1"/>
  <c r="I15" i="1"/>
  <c r="I24" i="1"/>
  <c r="H27" i="1"/>
  <c r="H28" i="1" s="1"/>
  <c r="H29" i="1" s="1"/>
  <c r="G27" i="1"/>
  <c r="G28" i="1" s="1"/>
  <c r="G29" i="1" s="1"/>
  <c r="N14" i="1"/>
  <c r="N15" i="1" s="1"/>
  <c r="B24" i="1"/>
  <c r="F24" i="1"/>
  <c r="F25" i="1" s="1"/>
  <c r="F15" i="1"/>
  <c r="E24" i="1"/>
  <c r="E15" i="1"/>
  <c r="D24" i="1"/>
  <c r="D15" i="1"/>
  <c r="C24" i="1"/>
  <c r="C15" i="1"/>
  <c r="M25" i="1" l="1"/>
  <c r="M27" i="1"/>
  <c r="M28" i="1" s="1"/>
  <c r="M29" i="1" s="1"/>
  <c r="L25" i="1"/>
  <c r="L27" i="1"/>
  <c r="L28" i="1" s="1"/>
  <c r="L29" i="1" s="1"/>
  <c r="K25" i="1"/>
  <c r="K27" i="1"/>
  <c r="K28" i="1" s="1"/>
  <c r="K29" i="1" s="1"/>
  <c r="J25" i="1"/>
  <c r="J27" i="1"/>
  <c r="J28" i="1" s="1"/>
  <c r="J29" i="1" s="1"/>
  <c r="I25" i="1"/>
  <c r="I27" i="1"/>
  <c r="I28" i="1" s="1"/>
  <c r="I29" i="1" s="1"/>
  <c r="B25" i="1"/>
  <c r="N24" i="1"/>
  <c r="N25" i="1" s="1"/>
  <c r="B27" i="1"/>
  <c r="B28" i="1" s="1"/>
  <c r="F27" i="1"/>
  <c r="F28" i="1" s="1"/>
  <c r="F29" i="1" s="1"/>
  <c r="E27" i="1"/>
  <c r="E28" i="1" s="1"/>
  <c r="E29" i="1" s="1"/>
  <c r="E25" i="1"/>
  <c r="D27" i="1"/>
  <c r="D28" i="1" s="1"/>
  <c r="D29" i="1" s="1"/>
  <c r="D25" i="1"/>
  <c r="C27" i="1"/>
  <c r="C28" i="1" s="1"/>
  <c r="C29" i="1" s="1"/>
  <c r="C25" i="1"/>
  <c r="C17" i="3"/>
  <c r="B19" i="3"/>
  <c r="B29" i="1" l="1"/>
  <c r="N28" i="1"/>
  <c r="N29" i="1" s="1"/>
  <c r="C19" i="3"/>
  <c r="D17" i="3"/>
  <c r="N27" i="1"/>
  <c r="D19" i="3" l="1"/>
  <c r="E17" i="3"/>
  <c r="E19" i="3" l="1"/>
  <c r="F17" i="3"/>
  <c r="F19" i="3" l="1"/>
  <c r="G17" i="3"/>
  <c r="G19" i="3" l="1"/>
  <c r="H17" i="3"/>
  <c r="H19" i="3" l="1"/>
  <c r="I17" i="3"/>
  <c r="I19" i="3" l="1"/>
  <c r="J17" i="3"/>
  <c r="J19" i="3" l="1"/>
  <c r="K17" i="3"/>
  <c r="K19" i="3" l="1"/>
  <c r="L17" i="3"/>
  <c r="L19" i="3" l="1"/>
  <c r="M17" i="3"/>
  <c r="M19" i="3" l="1"/>
  <c r="N17" i="3"/>
</calcChain>
</file>

<file path=xl/sharedStrings.xml><?xml version="1.0" encoding="utf-8"?>
<sst xmlns="http://schemas.openxmlformats.org/spreadsheetml/2006/main" count="201" uniqueCount="71">
  <si>
    <t>AZStyle Retail — Monthly Profit &amp; Loss Statement (FY 2025-26)  |  ₹ in Thousands</t>
  </si>
  <si>
    <t>Company: AZStyle Retail Pvt. Ltd. | D2C Fashion Brand | Practice Dataset — Azisly Impact Sprint Session 5</t>
  </si>
  <si>
    <t>Line Item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</si>
  <si>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</si>
  <si>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</si>
  <si>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</si>
  <si>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</si>
  <si>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</si>
  <si>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</si>
  <si>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</si>
  <si>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</si>
  <si>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</si>
  <si>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</si>
  <si>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</si>
  <si>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</si>
  <si>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FY Total</t>
  </si>
  <si>
    <t>REVENUE</t>
  </si>
  <si>
    <t xml:space="preserve">  Product A — Apparel</t>
  </si>
  <si>
    <t xml:space="preserve">  Product B — Footwear</t>
  </si>
  <si>
    <t xml:space="preserve">  Services / Alterations</t>
  </si>
  <si>
    <t>Total Revenue</t>
  </si>
  <si>
    <t>COST OF GOODS SOLD (COGS)</t>
  </si>
  <si>
    <t xml:space="preserve">  Raw Materials &amp; Manufacturing</t>
  </si>
  <si>
    <t xml:space="preserve">  Logistics &amp; Warehousing</t>
  </si>
  <si>
    <t>Total COGS</t>
  </si>
  <si>
    <t>GROSS PROFIT</t>
  </si>
  <si>
    <t>Gross Margin %</t>
  </si>
  <si>
    <t>OPERATING EXPENSES (OPEX)</t>
  </si>
  <si>
    <t xml:space="preserve">  Marketing &amp; Advertising</t>
  </si>
  <si>
    <t xml:space="preserve">  Salaries &amp; Benefits (OPEX)</t>
  </si>
  <si>
    <t xml:space="preserve">  Rent &amp; Utilities</t>
  </si>
  <si>
    <t xml:space="preserve">  Technology &amp; Software</t>
  </si>
  <si>
    <t xml:space="preserve">  Other Admin Expenses</t>
  </si>
  <si>
    <t>Total OPEX</t>
  </si>
  <si>
    <t>EBITDA</t>
  </si>
  <si>
    <t>EBITDA Margin %</t>
  </si>
  <si>
    <t xml:space="preserve">  Depreciation</t>
  </si>
  <si>
    <t xml:space="preserve">  Tax (25% effective rate)</t>
  </si>
  <si>
    <t>NET PROFIT AFTER TAX</t>
  </si>
  <si>
    <t>Net Profit Margin %</t>
  </si>
  <si>
    <t>AZStyle Retail — Budget vs Actuals Tracker (FY 2025-26)  |  ₹ in Thousands</t>
  </si>
  <si>
    <t>Practice Dataset — Compare planned spend vs actual for each department across 12 months</t>
  </si>
  <si>
    <t>Department</t>
  </si>
  <si>
    <t>Month</t>
  </si>
  <si>
    <t>Budget (₹K)</t>
  </si>
  <si>
    <t>Actual (₹K)</t>
  </si>
  <si>
    <t>Variance (₹K)</t>
  </si>
  <si>
    <t>Variance %</t>
  </si>
  <si>
    <t>Status</t>
  </si>
  <si>
    <t>Notes</t>
  </si>
  <si>
    <t>Marketing</t>
  </si>
  <si>
    <t>Technology</t>
  </si>
  <si>
    <t>Operations</t>
  </si>
  <si>
    <t>HR &amp; Admin</t>
  </si>
  <si>
    <t>Sales</t>
  </si>
  <si>
    <t>AZStyle Retail — Monthly Cash Flow &amp; Burn Rate (FY 2025-26)  |  ₹ in Thousands</t>
  </si>
  <si>
    <t>Practice Dataset — Track monthly cash movement, burn rate and runway</t>
  </si>
  <si>
    <t>Opening Cash Balance</t>
  </si>
  <si>
    <t xml:space="preserve">  Collections from Sales</t>
  </si>
  <si>
    <t xml:space="preserve">  Advance Payments / Deposits</t>
  </si>
  <si>
    <t>Total Cash In</t>
  </si>
  <si>
    <t xml:space="preserve">  Raw Materials &amp; COGS</t>
  </si>
  <si>
    <t xml:space="preserve">  Salaries (All)</t>
  </si>
  <si>
    <t xml:space="preserve">  Marketing Spend</t>
  </si>
  <si>
    <t xml:space="preserve">  Other Operating Expenses</t>
  </si>
  <si>
    <t xml:space="preserve">  Capex / Investments</t>
  </si>
  <si>
    <t>Total Cash Out</t>
  </si>
  <si>
    <t>Net Cash Flow</t>
  </si>
  <si>
    <t>Closing Cash Balance</t>
  </si>
  <si>
    <t>Avg Monthly Burn Rate</t>
  </si>
  <si>
    <t>Cash Runway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</si>
</sst>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-0.0%;\-"/>
    <numFmt numFmtId="166" formatCode="0.0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1A5276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1A7A4A"/>
      <name val="Arial"/>
      <family val="2"/>
    </font>
    <font>
      <b/>
      <sz val="11"/>
      <color rgb="FF1A7A4A"/>
      <name val="Arial"/>
      <family val="2"/>
    </font>
    <font>
      <i/>
      <sz val="10"/>
      <name val="Arial"/>
      <family val="2"/>
    </font>
    <font>
      <b/>
      <sz val="11"/>
      <color rgb="FFC0392B"/>
      <name val="Arial"/>
      <family val="2"/>
    </font>
    <font>
      <b/>
      <sz val="10"/>
      <color rgb="FF1A5276"/>
      <name val="Arial"/>
      <family val="2"/>
    </font>
    <font>
      <b/>
      <sz val="11"/>
      <color rgb="FF1A5276"/>
      <name val="Arial"/>
      <family val="2"/>
    </font>
    <font>
      <sz val="9"/>
      <color rgb="FF888888"/>
      <name val="Arial"/>
      <family val="2"/>
    </font>
    <font>
      <b/>
      <sz val="10"/>
      <color rgb="FFC0392B"/>
      <name val="Arial"/>
      <family val="2"/>
    </font>
    <font>
      <i/>
      <sz val="10"/>
      <color rgb="FFE8751A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E8751A"/>
        <bgColor rgb="FFFF9900"/>
      </patternFill>
    </fill>
    <fill>
      <patternFill patternType="solid">
        <fgColor rgb="FFE8F5E9"/>
        <bgColor rgb="FFEBF5FB"/>
      </patternFill>
    </fill>
    <fill>
      <patternFill patternType="solid">
        <fgColor rgb="FFD5F5E7"/>
        <bgColor rgb="FFE8F5E9"/>
      </patternFill>
    </fill>
    <fill>
      <patternFill patternType="solid">
        <fgColor rgb="FFFDECEA"/>
        <bgColor rgb="FFF2F4F7"/>
      </patternFill>
    </fill>
    <fill>
      <patternFill patternType="solid">
        <fgColor rgb="FFEBF5FB"/>
        <bgColor rgb="FFF2F4F7"/>
      </patternFill>
    </fill>
    <fill>
      <patternFill patternType="solid">
        <fgColor rgb="FFF2F4F7"/>
        <bgColor rgb="FFEBF5FB"/>
      </patternFill>
    </fill>
    <fill>
      <patternFill patternType="solid">
        <fgColor rgb="FFFFFFFF"/>
        <bgColor rgb="FFF0FFF4"/>
      </patternFill>
    </fill>
    <fill>
      <patternFill patternType="solid">
        <fgColor rgb="FFF0FFF4"/>
        <bgColor rgb="FFEBF5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/>
    </xf>
    <xf numFmtId="164" fontId="6" fillId="4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9" fillId="5" borderId="1" xfId="0" applyFont="1" applyFill="1" applyBorder="1" applyAlignment="1">
      <alignment horizontal="left"/>
    </xf>
    <xf numFmtId="164" fontId="10" fillId="5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165" fontId="6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left"/>
    </xf>
    <xf numFmtId="164" fontId="12" fillId="6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/>
    </xf>
    <xf numFmtId="164" fontId="14" fillId="7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/>
    </xf>
    <xf numFmtId="49" fontId="5" fillId="8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15" fillId="0" borderId="1" xfId="0" applyFont="1" applyBorder="1"/>
    <xf numFmtId="0" fontId="7" fillId="9" borderId="1" xfId="0" applyFont="1" applyFill="1" applyBorder="1" applyAlignment="1">
      <alignment horizontal="left"/>
    </xf>
    <xf numFmtId="49" fontId="5" fillId="9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164" fontId="0" fillId="0" borderId="1" xfId="0" applyNumberFormat="1" applyBorder="1"/>
    <xf numFmtId="164" fontId="10" fillId="5" borderId="1" xfId="0" applyNumberFormat="1" applyFont="1" applyFill="1" applyBorder="1"/>
    <xf numFmtId="0" fontId="16" fillId="6" borderId="1" xfId="0" applyFont="1" applyFill="1" applyBorder="1" applyAlignment="1">
      <alignment horizontal="left"/>
    </xf>
    <xf numFmtId="164" fontId="12" fillId="6" borderId="1" xfId="0" applyNumberFormat="1" applyFont="1" applyFill="1" applyBorder="1"/>
    <xf numFmtId="164" fontId="14" fillId="7" borderId="1" xfId="0" applyNumberFormat="1" applyFont="1" applyFill="1" applyBorder="1"/>
    <xf numFmtId="0" fontId="7" fillId="10" borderId="1" xfId="0" applyFont="1" applyFill="1" applyBorder="1" applyAlignment="1">
      <alignment horizontal="left"/>
    </xf>
    <xf numFmtId="164" fontId="6" fillId="10" borderId="1" xfId="0" applyNumberFormat="1" applyFont="1" applyFill="1" applyBorder="1" applyAlignment="1">
      <alignment horizontal="center" vertical="center"/>
    </xf>
    <xf numFmtId="164" fontId="0" fillId="10" borderId="1" xfId="0" applyNumberFormat="1" applyFill="1" applyBorder="1"/>
    <xf numFmtId="0" fontId="17" fillId="0" borderId="1" xfId="0" applyFont="1" applyBorder="1" applyAlignment="1">
      <alignment horizontal="left"/>
    </xf>
    <xf numFmtId="166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CCCCC"/>
      <rgbColor rgb="FF888888"/>
      <rgbColor rgb="FF9999FF"/>
      <rgbColor rgb="FF993366"/>
      <rgbColor rgb="FFF0FFF4"/>
      <rgbColor rgb="FFD5F5E7"/>
      <rgbColor rgb="FF660066"/>
      <rgbColor rgb="FFFF8080"/>
      <rgbColor rgb="FF0066CC"/>
      <rgbColor rgb="FFF2F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5FB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51A"/>
      <rgbColor rgb="FF555555"/>
      <rgbColor rgb="FF969696"/>
      <rgbColor rgb="FF1A5276"/>
      <rgbColor rgb="FF339966"/>
      <rgbColor rgb="FF0D1B2A"/>
      <rgbColor rgb="FF333300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29" sqref="K29"/>
    </sheetView>
  </sheetViews>
  <sheetFormatPr baseColWidth="10" defaultColWidth="8.6640625" defaultRowHeight="15" customHeight="1" x14ac:dyDescent="0.2"/>
  <cols>
    <col min="1" max="1" width="30" customWidth="1"/>
    <col min="2" max="13" width="10" customWidth="1"/>
    <col min="14" max="14" width="12" customWidth="1"/>
  </cols>
  <sheetData>
    <row r="1" spans="1:14" ht="27.75" customHeight="1" x14ac:dyDescent="0.2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8" t="s">
        <v>15</v>
      </c>
    </row>
    <row r="4" spans="1:14" x14ac:dyDescent="0.2">
      <c r="A4" s="3" t="s">
        <v>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">
      <c r="A5" s="9" t="s">
        <v>17</v>
      </c>
      <c r="B5" s="10">
        <v>1100</v>
      </c>
      <c r="C5" s="10">
        <v>980</v>
      </c>
      <c r="D5" s="10">
        <v>1000</v>
      </c>
      <c r="E5" s="10">
        <v>990</v>
      </c>
      <c r="F5" s="10">
        <v>1150</v>
      </c>
      <c r="G5" s="10">
        <v>1145</v>
      </c>
      <c r="H5" s="10">
        <v>1400</v>
      </c>
      <c r="I5" s="10">
        <v>1450</v>
      </c>
      <c r="J5" s="10">
        <v>1500</v>
      </c>
      <c r="K5" s="10">
        <v>1100</v>
      </c>
      <c r="L5" s="10">
        <v>1200</v>
      </c>
      <c r="M5" s="10">
        <v>1250</v>
      </c>
      <c r="N5" s="11">
        <f>SUM(B5:M5)</f>
        <v>14265</v>
      </c>
    </row>
    <row r="6" spans="1:14" x14ac:dyDescent="0.2">
      <c r="A6" s="9" t="s">
        <v>18</v>
      </c>
      <c r="B6" s="10">
        <v>310</v>
      </c>
      <c r="C6" s="10">
        <v>340</v>
      </c>
      <c r="D6" s="10">
        <v>390</v>
      </c>
      <c r="E6" s="10">
        <v>360</v>
      </c>
      <c r="F6" s="10">
        <v>420</v>
      </c>
      <c r="G6" s="10">
        <v>510</v>
      </c>
      <c r="H6" s="10">
        <v>580</v>
      </c>
      <c r="I6" s="10">
        <v>560</v>
      </c>
      <c r="J6" s="10">
        <v>490</v>
      </c>
      <c r="K6" s="10">
        <v>420</v>
      </c>
      <c r="L6" s="10">
        <v>390</v>
      </c>
      <c r="M6" s="10">
        <v>560</v>
      </c>
      <c r="N6" s="11">
        <f>SUM(B6:M6)</f>
        <v>5330</v>
      </c>
    </row>
    <row r="7" spans="1:14" x14ac:dyDescent="0.2">
      <c r="A7" s="9" t="s">
        <v>19</v>
      </c>
      <c r="B7" s="10">
        <v>85</v>
      </c>
      <c r="C7" s="10">
        <v>90</v>
      </c>
      <c r="D7" s="10">
        <v>105</v>
      </c>
      <c r="E7" s="10">
        <v>95</v>
      </c>
      <c r="F7" s="10">
        <v>110</v>
      </c>
      <c r="G7" s="10">
        <v>125</v>
      </c>
      <c r="H7" s="10">
        <v>140</v>
      </c>
      <c r="I7" s="10">
        <v>135</v>
      </c>
      <c r="J7" s="10">
        <v>115</v>
      </c>
      <c r="K7" s="10">
        <v>100</v>
      </c>
      <c r="L7" s="10">
        <v>95</v>
      </c>
      <c r="M7" s="10">
        <v>145</v>
      </c>
      <c r="N7" s="11">
        <f>SUM(B7:M7)</f>
        <v>1340</v>
      </c>
    </row>
    <row r="8" spans="1:14" x14ac:dyDescent="0.2">
      <c r="A8" s="12" t="s">
        <v>20</v>
      </c>
      <c r="B8" s="13">
        <f>SUM(B5:B7)</f>
        <v>1495</v>
      </c>
      <c r="C8" s="13">
        <f t="shared" ref="C8:M8" si="0">C5+C6+C7</f>
        <v>1410</v>
      </c>
      <c r="D8" s="13">
        <f t="shared" si="0"/>
        <v>1495</v>
      </c>
      <c r="E8" s="13">
        <f t="shared" si="0"/>
        <v>1445</v>
      </c>
      <c r="F8" s="13">
        <f t="shared" si="0"/>
        <v>1680</v>
      </c>
      <c r="G8" s="13">
        <f t="shared" si="0"/>
        <v>1780</v>
      </c>
      <c r="H8" s="13">
        <f t="shared" si="0"/>
        <v>2120</v>
      </c>
      <c r="I8" s="13">
        <f t="shared" si="0"/>
        <v>2145</v>
      </c>
      <c r="J8" s="13">
        <f t="shared" si="0"/>
        <v>2105</v>
      </c>
      <c r="K8" s="13">
        <f t="shared" si="0"/>
        <v>1620</v>
      </c>
      <c r="L8" s="13">
        <f t="shared" si="0"/>
        <v>1685</v>
      </c>
      <c r="M8" s="13">
        <f t="shared" si="0"/>
        <v>1955</v>
      </c>
      <c r="N8" s="14">
        <f>SUM(B8:M8)</f>
        <v>20935</v>
      </c>
    </row>
    <row r="9" spans="1:14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x14ac:dyDescent="0.2">
      <c r="A10" s="2" t="s">
        <v>21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">
      <c r="A11" s="9" t="s">
        <v>22</v>
      </c>
      <c r="B11" s="10">
        <v>631</v>
      </c>
      <c r="C11" s="10">
        <v>676</v>
      </c>
      <c r="D11" s="10">
        <v>746</v>
      </c>
      <c r="E11" s="10">
        <v>699</v>
      </c>
      <c r="F11" s="10">
        <v>785</v>
      </c>
      <c r="G11" s="10">
        <v>900</v>
      </c>
      <c r="H11" s="10">
        <v>1060</v>
      </c>
      <c r="I11" s="10">
        <v>1027</v>
      </c>
      <c r="J11" s="10">
        <v>886</v>
      </c>
      <c r="K11" s="10">
        <v>769</v>
      </c>
      <c r="L11" s="10">
        <v>715</v>
      </c>
      <c r="M11" s="10">
        <v>900</v>
      </c>
      <c r="N11" s="11">
        <f>SUM(B11:M11)</f>
        <v>9794</v>
      </c>
    </row>
    <row r="12" spans="1:14" x14ac:dyDescent="0.2">
      <c r="A12" s="9" t="s">
        <v>23</v>
      </c>
      <c r="B12" s="10">
        <v>95</v>
      </c>
      <c r="C12" s="10">
        <v>100</v>
      </c>
      <c r="D12" s="10">
        <v>115</v>
      </c>
      <c r="E12" s="10">
        <v>105</v>
      </c>
      <c r="F12" s="10">
        <v>120</v>
      </c>
      <c r="G12" s="10">
        <v>145</v>
      </c>
      <c r="H12" s="10">
        <v>165</v>
      </c>
      <c r="I12" s="10">
        <v>155</v>
      </c>
      <c r="J12" s="10">
        <v>135</v>
      </c>
      <c r="K12" s="10">
        <v>115</v>
      </c>
      <c r="L12" s="10">
        <v>105</v>
      </c>
      <c r="M12" s="10">
        <v>160</v>
      </c>
      <c r="N12" s="11">
        <f>SUM(B12:M12)</f>
        <v>1515</v>
      </c>
    </row>
    <row r="13" spans="1:14" x14ac:dyDescent="0.2">
      <c r="A13" s="12" t="s">
        <v>24</v>
      </c>
      <c r="B13" s="13">
        <f t="shared" ref="B13:M13" si="1">B11+B12</f>
        <v>726</v>
      </c>
      <c r="C13" s="13">
        <f t="shared" si="1"/>
        <v>776</v>
      </c>
      <c r="D13" s="13">
        <f t="shared" si="1"/>
        <v>861</v>
      </c>
      <c r="E13" s="13">
        <f t="shared" si="1"/>
        <v>804</v>
      </c>
      <c r="F13" s="13">
        <f t="shared" si="1"/>
        <v>905</v>
      </c>
      <c r="G13" s="13">
        <f t="shared" si="1"/>
        <v>1045</v>
      </c>
      <c r="H13" s="13">
        <f t="shared" si="1"/>
        <v>1225</v>
      </c>
      <c r="I13" s="13">
        <f t="shared" si="1"/>
        <v>1182</v>
      </c>
      <c r="J13" s="13">
        <f t="shared" si="1"/>
        <v>1021</v>
      </c>
      <c r="K13" s="13">
        <f t="shared" si="1"/>
        <v>884</v>
      </c>
      <c r="L13" s="13">
        <f t="shared" si="1"/>
        <v>820</v>
      </c>
      <c r="M13" s="13">
        <f t="shared" si="1"/>
        <v>1060</v>
      </c>
      <c r="N13" s="14">
        <f>SUM(B13:M13)</f>
        <v>11309</v>
      </c>
    </row>
    <row r="14" spans="1:14" x14ac:dyDescent="0.2">
      <c r="A14" s="16" t="s">
        <v>25</v>
      </c>
      <c r="B14" s="17">
        <f t="shared" ref="B14:M14" si="2">B8-B13</f>
        <v>769</v>
      </c>
      <c r="C14" s="17">
        <f t="shared" si="2"/>
        <v>634</v>
      </c>
      <c r="D14" s="17">
        <f t="shared" si="2"/>
        <v>634</v>
      </c>
      <c r="E14" s="17">
        <f t="shared" si="2"/>
        <v>641</v>
      </c>
      <c r="F14" s="17">
        <f t="shared" si="2"/>
        <v>775</v>
      </c>
      <c r="G14" s="17">
        <f t="shared" si="2"/>
        <v>735</v>
      </c>
      <c r="H14" s="17">
        <f t="shared" si="2"/>
        <v>895</v>
      </c>
      <c r="I14" s="17">
        <f t="shared" si="2"/>
        <v>963</v>
      </c>
      <c r="J14" s="17">
        <f t="shared" si="2"/>
        <v>1084</v>
      </c>
      <c r="K14" s="17">
        <f t="shared" si="2"/>
        <v>736</v>
      </c>
      <c r="L14" s="17">
        <f t="shared" si="2"/>
        <v>865</v>
      </c>
      <c r="M14" s="17">
        <f t="shared" si="2"/>
        <v>895</v>
      </c>
      <c r="N14" s="17">
        <f>SUM(B14:M14)</f>
        <v>9626</v>
      </c>
    </row>
    <row r="15" spans="1:14" x14ac:dyDescent="0.2">
      <c r="A15" s="18" t="s">
        <v>26</v>
      </c>
      <c r="B15" s="19">
        <f t="shared" ref="B15:N15" si="3">IF(B8=0,"-",B14/B8)</f>
        <v>0.51438127090301</v>
      </c>
      <c r="C15" s="19">
        <f t="shared" si="3"/>
        <v>0.44964539007092197</v>
      </c>
      <c r="D15" s="19">
        <f t="shared" si="3"/>
        <v>0.4240802675585284</v>
      </c>
      <c r="E15" s="19">
        <f t="shared" si="3"/>
        <v>0.44359861591695504</v>
      </c>
      <c r="F15" s="19">
        <f t="shared" si="3"/>
        <v>0.46130952380952384</v>
      </c>
      <c r="G15" s="19">
        <f t="shared" si="3"/>
        <v>0.41292134831460675</v>
      </c>
      <c r="H15" s="19">
        <f t="shared" si="3"/>
        <v>0.42216981132075471</v>
      </c>
      <c r="I15" s="19">
        <f t="shared" si="3"/>
        <v>0.44895104895104893</v>
      </c>
      <c r="J15" s="19">
        <f t="shared" si="3"/>
        <v>0.51496437054631827</v>
      </c>
      <c r="K15" s="19">
        <f t="shared" si="3"/>
        <v>0.454320987654321</v>
      </c>
      <c r="L15" s="19">
        <f t="shared" si="3"/>
        <v>0.51335311572700293</v>
      </c>
      <c r="M15" s="19">
        <f t="shared" si="3"/>
        <v>0.4578005115089514</v>
      </c>
      <c r="N15" s="19">
        <f t="shared" si="3"/>
        <v>0.45980415572008598</v>
      </c>
    </row>
    <row r="16" spans="1:14" x14ac:dyDescent="0.2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1:14" x14ac:dyDescent="0.2">
      <c r="A17" s="1" t="s">
        <v>27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">
      <c r="A18" s="9" t="s">
        <v>28</v>
      </c>
      <c r="B18" s="10">
        <v>185</v>
      </c>
      <c r="C18" s="10">
        <v>155</v>
      </c>
      <c r="D18" s="10">
        <v>140</v>
      </c>
      <c r="E18" s="10">
        <v>145</v>
      </c>
      <c r="F18" s="10">
        <v>180</v>
      </c>
      <c r="G18" s="10">
        <v>250</v>
      </c>
      <c r="H18" s="10">
        <v>270</v>
      </c>
      <c r="I18" s="10">
        <v>280</v>
      </c>
      <c r="J18" s="10">
        <v>295</v>
      </c>
      <c r="K18" s="10">
        <v>280</v>
      </c>
      <c r="L18" s="10">
        <v>270</v>
      </c>
      <c r="M18" s="10">
        <v>260</v>
      </c>
      <c r="N18" s="11">
        <f t="shared" ref="N18:N24" si="4">SUM(B18:M18)</f>
        <v>2710</v>
      </c>
    </row>
    <row r="19" spans="1:14" x14ac:dyDescent="0.2">
      <c r="A19" s="9" t="s">
        <v>29</v>
      </c>
      <c r="B19" s="10">
        <v>280</v>
      </c>
      <c r="C19" s="10">
        <v>280</v>
      </c>
      <c r="D19" s="10">
        <v>290</v>
      </c>
      <c r="E19" s="10">
        <v>290</v>
      </c>
      <c r="F19" s="10">
        <v>290</v>
      </c>
      <c r="G19" s="10">
        <v>310</v>
      </c>
      <c r="H19" s="10">
        <v>310</v>
      </c>
      <c r="I19" s="10">
        <v>310</v>
      </c>
      <c r="J19" s="10">
        <v>310</v>
      </c>
      <c r="K19" s="10">
        <v>310</v>
      </c>
      <c r="L19" s="10">
        <v>320</v>
      </c>
      <c r="M19" s="10">
        <v>320</v>
      </c>
      <c r="N19" s="11">
        <f t="shared" si="4"/>
        <v>3620</v>
      </c>
    </row>
    <row r="20" spans="1:14" x14ac:dyDescent="0.2">
      <c r="A20" s="9" t="s">
        <v>30</v>
      </c>
      <c r="B20" s="10">
        <v>65</v>
      </c>
      <c r="C20" s="10">
        <v>65</v>
      </c>
      <c r="D20" s="10">
        <v>65</v>
      </c>
      <c r="E20" s="10">
        <v>65</v>
      </c>
      <c r="F20" s="10">
        <v>65</v>
      </c>
      <c r="G20" s="10">
        <v>68</v>
      </c>
      <c r="H20" s="10">
        <v>68</v>
      </c>
      <c r="I20" s="10">
        <v>68</v>
      </c>
      <c r="J20" s="10">
        <v>68</v>
      </c>
      <c r="K20" s="10">
        <v>68</v>
      </c>
      <c r="L20" s="10">
        <v>68</v>
      </c>
      <c r="M20" s="10">
        <v>70</v>
      </c>
      <c r="N20" s="11">
        <f t="shared" si="4"/>
        <v>803</v>
      </c>
    </row>
    <row r="21" spans="1:14" x14ac:dyDescent="0.2">
      <c r="A21" s="9" t="s">
        <v>31</v>
      </c>
      <c r="B21" s="10">
        <v>45</v>
      </c>
      <c r="C21" s="10">
        <v>45</v>
      </c>
      <c r="D21" s="10">
        <v>50</v>
      </c>
      <c r="E21" s="10">
        <v>50</v>
      </c>
      <c r="F21" s="10">
        <v>55</v>
      </c>
      <c r="G21" s="10">
        <v>55</v>
      </c>
      <c r="H21" s="10">
        <v>60</v>
      </c>
      <c r="I21" s="10">
        <v>60</v>
      </c>
      <c r="J21" s="10">
        <v>60</v>
      </c>
      <c r="K21" s="10">
        <v>62</v>
      </c>
      <c r="L21" s="10">
        <v>62</v>
      </c>
      <c r="M21" s="10">
        <v>65</v>
      </c>
      <c r="N21" s="11">
        <f t="shared" si="4"/>
        <v>669</v>
      </c>
    </row>
    <row r="22" spans="1:14" x14ac:dyDescent="0.2">
      <c r="A22" s="9" t="s">
        <v>32</v>
      </c>
      <c r="B22" s="10">
        <v>38</v>
      </c>
      <c r="C22" s="10">
        <v>40</v>
      </c>
      <c r="D22" s="10">
        <v>45</v>
      </c>
      <c r="E22" s="10">
        <v>42</v>
      </c>
      <c r="F22" s="10">
        <v>48</v>
      </c>
      <c r="G22" s="10">
        <v>52</v>
      </c>
      <c r="H22" s="10">
        <v>60</v>
      </c>
      <c r="I22" s="10">
        <v>55</v>
      </c>
      <c r="J22" s="10">
        <v>50</v>
      </c>
      <c r="K22" s="10">
        <v>45</v>
      </c>
      <c r="L22" s="10">
        <v>42</v>
      </c>
      <c r="M22" s="10">
        <v>58</v>
      </c>
      <c r="N22" s="11">
        <f t="shared" si="4"/>
        <v>575</v>
      </c>
    </row>
    <row r="23" spans="1:14" x14ac:dyDescent="0.2">
      <c r="A23" s="20" t="s">
        <v>33</v>
      </c>
      <c r="B23" s="21">
        <f t="shared" ref="B23:M23" si="5">B18+B19+B20+B21+B22</f>
        <v>613</v>
      </c>
      <c r="C23" s="21">
        <f t="shared" si="5"/>
        <v>585</v>
      </c>
      <c r="D23" s="21">
        <f t="shared" si="5"/>
        <v>590</v>
      </c>
      <c r="E23" s="21">
        <f t="shared" si="5"/>
        <v>592</v>
      </c>
      <c r="F23" s="21">
        <f t="shared" si="5"/>
        <v>638</v>
      </c>
      <c r="G23" s="21">
        <f t="shared" si="5"/>
        <v>735</v>
      </c>
      <c r="H23" s="21">
        <f t="shared" si="5"/>
        <v>768</v>
      </c>
      <c r="I23" s="21">
        <f t="shared" si="5"/>
        <v>773</v>
      </c>
      <c r="J23" s="21">
        <f t="shared" si="5"/>
        <v>783</v>
      </c>
      <c r="K23" s="21">
        <f t="shared" si="5"/>
        <v>765</v>
      </c>
      <c r="L23" s="21">
        <f t="shared" si="5"/>
        <v>762</v>
      </c>
      <c r="M23" s="21">
        <f t="shared" si="5"/>
        <v>773</v>
      </c>
      <c r="N23" s="21">
        <f t="shared" si="4"/>
        <v>8377</v>
      </c>
    </row>
    <row r="24" spans="1:14" x14ac:dyDescent="0.2">
      <c r="A24" s="22" t="s">
        <v>34</v>
      </c>
      <c r="B24" s="23">
        <f t="shared" ref="B24:M24" si="6">B14-B23</f>
        <v>156</v>
      </c>
      <c r="C24" s="23">
        <f t="shared" si="6"/>
        <v>49</v>
      </c>
      <c r="D24" s="23">
        <f t="shared" si="6"/>
        <v>44</v>
      </c>
      <c r="E24" s="23">
        <f t="shared" si="6"/>
        <v>49</v>
      </c>
      <c r="F24" s="23">
        <f t="shared" si="6"/>
        <v>137</v>
      </c>
      <c r="G24" s="23">
        <f t="shared" si="6"/>
        <v>0</v>
      </c>
      <c r="H24" s="23">
        <f t="shared" si="6"/>
        <v>127</v>
      </c>
      <c r="I24" s="23">
        <f t="shared" si="6"/>
        <v>190</v>
      </c>
      <c r="J24" s="23">
        <f t="shared" si="6"/>
        <v>301</v>
      </c>
      <c r="K24" s="23">
        <f t="shared" si="6"/>
        <v>-29</v>
      </c>
      <c r="L24" s="23">
        <f t="shared" si="6"/>
        <v>103</v>
      </c>
      <c r="M24" s="23">
        <f t="shared" si="6"/>
        <v>122</v>
      </c>
      <c r="N24" s="23">
        <f t="shared" si="4"/>
        <v>1249</v>
      </c>
    </row>
    <row r="25" spans="1:14" x14ac:dyDescent="0.2">
      <c r="A25" s="18" t="s">
        <v>35</v>
      </c>
      <c r="B25" s="19">
        <f t="shared" ref="B25:N25" si="7">IF(B8=0,"-",B24/B8)</f>
        <v>0.10434782608695652</v>
      </c>
      <c r="C25" s="19">
        <f t="shared" si="7"/>
        <v>3.4751773049645392E-2</v>
      </c>
      <c r="D25" s="19">
        <f t="shared" si="7"/>
        <v>2.9431438127090301E-2</v>
      </c>
      <c r="E25" s="19">
        <f t="shared" si="7"/>
        <v>3.3910034602076124E-2</v>
      </c>
      <c r="F25" s="19">
        <f t="shared" si="7"/>
        <v>8.1547619047619049E-2</v>
      </c>
      <c r="G25" s="19">
        <f t="shared" si="7"/>
        <v>0</v>
      </c>
      <c r="H25" s="19">
        <f t="shared" si="7"/>
        <v>5.9905660377358491E-2</v>
      </c>
      <c r="I25" s="19">
        <f t="shared" si="7"/>
        <v>8.8578088578088576E-2</v>
      </c>
      <c r="J25" s="19">
        <f t="shared" si="7"/>
        <v>0.14299287410926365</v>
      </c>
      <c r="K25" s="19">
        <f t="shared" si="7"/>
        <v>-1.7901234567901235E-2</v>
      </c>
      <c r="L25" s="19">
        <f t="shared" si="7"/>
        <v>6.1127596439169138E-2</v>
      </c>
      <c r="M25" s="19">
        <f t="shared" si="7"/>
        <v>6.2404092071611253E-2</v>
      </c>
      <c r="N25" s="19">
        <f t="shared" si="7"/>
        <v>5.9660855027465966E-2</v>
      </c>
    </row>
    <row r="26" spans="1:14" x14ac:dyDescent="0.2">
      <c r="A26" s="9" t="s">
        <v>36</v>
      </c>
      <c r="B26" s="10">
        <v>18</v>
      </c>
      <c r="C26" s="10">
        <v>18</v>
      </c>
      <c r="D26" s="10">
        <v>18</v>
      </c>
      <c r="E26" s="10">
        <v>18</v>
      </c>
      <c r="F26" s="10">
        <v>18</v>
      </c>
      <c r="G26" s="10">
        <v>18</v>
      </c>
      <c r="H26" s="10">
        <v>18</v>
      </c>
      <c r="I26" s="10">
        <v>18</v>
      </c>
      <c r="J26" s="10">
        <v>18</v>
      </c>
      <c r="K26" s="10">
        <v>18</v>
      </c>
      <c r="L26" s="10">
        <v>18</v>
      </c>
      <c r="M26" s="10">
        <v>18</v>
      </c>
      <c r="N26" s="11">
        <f>SUM(B26:M26)</f>
        <v>216</v>
      </c>
    </row>
    <row r="27" spans="1:14" x14ac:dyDescent="0.2">
      <c r="A27" s="9" t="s">
        <v>37</v>
      </c>
      <c r="B27" s="11">
        <f t="shared" ref="B27:M27" si="8">MAX(0,(B24-B26)*0.25)</f>
        <v>34.5</v>
      </c>
      <c r="C27" s="11">
        <f t="shared" si="8"/>
        <v>7.75</v>
      </c>
      <c r="D27" s="11">
        <f t="shared" si="8"/>
        <v>6.5</v>
      </c>
      <c r="E27" s="11">
        <f t="shared" si="8"/>
        <v>7.75</v>
      </c>
      <c r="F27" s="11">
        <f t="shared" si="8"/>
        <v>29.75</v>
      </c>
      <c r="G27" s="11">
        <f t="shared" si="8"/>
        <v>0</v>
      </c>
      <c r="H27" s="11">
        <f t="shared" si="8"/>
        <v>27.25</v>
      </c>
      <c r="I27" s="11">
        <f t="shared" si="8"/>
        <v>43</v>
      </c>
      <c r="J27" s="11">
        <f t="shared" si="8"/>
        <v>70.75</v>
      </c>
      <c r="K27" s="11">
        <f t="shared" si="8"/>
        <v>0</v>
      </c>
      <c r="L27" s="11">
        <f t="shared" si="8"/>
        <v>21.25</v>
      </c>
      <c r="M27" s="11">
        <f t="shared" si="8"/>
        <v>26</v>
      </c>
      <c r="N27" s="11">
        <f>SUM(B27:M27)</f>
        <v>274.5</v>
      </c>
    </row>
    <row r="28" spans="1:14" x14ac:dyDescent="0.2">
      <c r="A28" s="16" t="s">
        <v>38</v>
      </c>
      <c r="B28" s="17">
        <f t="shared" ref="B28:M28" si="9">B24-B26-B27</f>
        <v>103.5</v>
      </c>
      <c r="C28" s="17">
        <f t="shared" si="9"/>
        <v>23.25</v>
      </c>
      <c r="D28" s="17">
        <f t="shared" si="9"/>
        <v>19.5</v>
      </c>
      <c r="E28" s="17">
        <f t="shared" si="9"/>
        <v>23.25</v>
      </c>
      <c r="F28" s="17">
        <f t="shared" si="9"/>
        <v>89.25</v>
      </c>
      <c r="G28" s="17">
        <f t="shared" si="9"/>
        <v>-18</v>
      </c>
      <c r="H28" s="17">
        <f t="shared" si="9"/>
        <v>81.75</v>
      </c>
      <c r="I28" s="17">
        <f t="shared" si="9"/>
        <v>129</v>
      </c>
      <c r="J28" s="17">
        <f t="shared" si="9"/>
        <v>212.25</v>
      </c>
      <c r="K28" s="17">
        <f t="shared" si="9"/>
        <v>-47</v>
      </c>
      <c r="L28" s="17">
        <f t="shared" si="9"/>
        <v>63.75</v>
      </c>
      <c r="M28" s="17">
        <f t="shared" si="9"/>
        <v>78</v>
      </c>
      <c r="N28" s="17">
        <f>SUM(B28:M28)</f>
        <v>758.5</v>
      </c>
    </row>
    <row r="29" spans="1:14" x14ac:dyDescent="0.2">
      <c r="A29" s="18" t="s">
        <v>39</v>
      </c>
      <c r="B29" s="19">
        <f t="shared" ref="B29:N29" si="10">IF(B8=0,"-",B28/B8)</f>
        <v>6.9230769230769235E-2</v>
      </c>
      <c r="C29" s="19">
        <f t="shared" si="10"/>
        <v>1.6489361702127659E-2</v>
      </c>
      <c r="D29" s="19">
        <f t="shared" si="10"/>
        <v>1.3043478260869565E-2</v>
      </c>
      <c r="E29" s="19">
        <f t="shared" si="10"/>
        <v>1.6089965397923876E-2</v>
      </c>
      <c r="F29" s="19">
        <f t="shared" si="10"/>
        <v>5.3124999999999999E-2</v>
      </c>
      <c r="G29" s="19">
        <f t="shared" si="10"/>
        <v>-1.0112359550561797E-2</v>
      </c>
      <c r="H29" s="19">
        <f t="shared" si="10"/>
        <v>3.856132075471698E-2</v>
      </c>
      <c r="I29" s="19">
        <f t="shared" si="10"/>
        <v>6.0139860139860141E-2</v>
      </c>
      <c r="J29" s="19">
        <f t="shared" si="10"/>
        <v>0.1008313539192399</v>
      </c>
      <c r="K29" s="19">
        <f t="shared" si="10"/>
        <v>-2.9012345679012345E-2</v>
      </c>
      <c r="L29" s="19">
        <f t="shared" si="10"/>
        <v>3.7833827893175076E-2</v>
      </c>
      <c r="M29" s="19">
        <f t="shared" si="10"/>
        <v>3.9897698209718668E-2</v>
      </c>
      <c r="N29" s="19">
        <f t="shared" si="10"/>
        <v>3.6231191784093626E-2</v>
      </c>
    </row>
  </sheetData>
  <mergeCells count="5">
    <mergeCell ref="A1:N1"/>
    <mergeCell ref="A2:N2"/>
    <mergeCell ref="A4:N4"/>
    <mergeCell ref="A10:N10"/>
    <mergeCell ref="A17:N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" sqref="C4"/>
    </sheetView>
  </sheetViews>
  <sheetFormatPr baseColWidth="10" defaultColWidth="8.6640625" defaultRowHeight="15" customHeight="1" x14ac:dyDescent="0.2"/>
  <cols>
    <col min="1" max="1" width="16" customWidth="1"/>
    <col min="2" max="2" width="9" customWidth="1"/>
    <col min="3" max="5" width="14" customWidth="1"/>
    <col min="6" max="6" width="12" customWidth="1"/>
    <col min="7" max="7" width="14" customWidth="1"/>
    <col min="8" max="8" width="25" customWidth="1"/>
  </cols>
  <sheetData>
    <row r="1" spans="1:8" ht="27.75" customHeight="1" x14ac:dyDescent="0.2">
      <c r="A1" s="5" t="s">
        <v>40</v>
      </c>
      <c r="B1" s="5"/>
      <c r="C1" s="5"/>
      <c r="D1" s="5"/>
      <c r="E1" s="5"/>
      <c r="F1" s="5"/>
      <c r="G1" s="5"/>
      <c r="H1" s="5"/>
    </row>
    <row r="2" spans="1:8" x14ac:dyDescent="0.2">
      <c r="A2" s="4" t="s">
        <v>41</v>
      </c>
      <c r="B2" s="4"/>
      <c r="C2" s="4"/>
      <c r="D2" s="4"/>
      <c r="E2" s="4"/>
      <c r="F2" s="4"/>
      <c r="G2" s="4"/>
      <c r="H2" s="4"/>
    </row>
    <row r="3" spans="1:8" x14ac:dyDescent="0.2">
      <c r="A3" s="7" t="s">
        <v>42</v>
      </c>
      <c r="B3" s="7" t="s">
        <v>43</v>
      </c>
      <c r="C3" s="7" t="s">
        <v>44</v>
      </c>
      <c r="D3" s="7" t="s">
        <v>45</v>
      </c>
      <c r="E3" s="7" t="s">
        <v>46</v>
      </c>
      <c r="F3" s="7" t="s">
        <v>47</v>
      </c>
      <c r="G3" s="7" t="s">
        <v>48</v>
      </c>
      <c r="H3" s="7" t="s">
        <v>49</v>
      </c>
    </row>
    <row r="4" spans="1:8" x14ac:dyDescent="0.2">
      <c r="A4" s="24" t="s">
        <v>50</v>
      </c>
      <c r="B4" s="25" t="s">
        <v>3</v>
      </c>
      <c r="C4" s="26">
        <v>185</v>
      </c>
      <c r="D4" s="26">
        <v>190</v>
      </c>
      <c r="E4" s="11">
        <f t="shared" ref="E4:E35" si="0">D4-C4</f>
        <v>5</v>
      </c>
      <c r="F4" s="19">
        <f t="shared" ref="F4:F35" si="1">IF(C4=0,"-",(D4-C4)/C4)</f>
        <v>2.7027027027027029E-2</v>
      </c>
      <c r="G4" s="27" t="str">
        <f t="shared" ref="G4:G35" si="2">IF(F4&gt;0.05,"🔴 Over",IF(F4&lt;-0.05,"🟢 Under","🟡 On Track"))</f>
        <v>🟡 On Track</v>
      </c>
      <c r="H4" s="28"/>
    </row>
    <row r="5" spans="1:8" x14ac:dyDescent="0.2">
      <c r="A5" s="29" t="s">
        <v>50</v>
      </c>
      <c r="B5" s="30" t="s">
        <v>4</v>
      </c>
      <c r="C5" s="31">
        <v>195</v>
      </c>
      <c r="D5" s="31">
        <v>188</v>
      </c>
      <c r="E5" s="11">
        <f t="shared" si="0"/>
        <v>-7</v>
      </c>
      <c r="F5" s="19">
        <f t="shared" si="1"/>
        <v>-3.5897435897435895E-2</v>
      </c>
      <c r="G5" s="27" t="str">
        <f t="shared" si="2"/>
        <v>🟡 On Track</v>
      </c>
      <c r="H5" s="28"/>
    </row>
    <row r="6" spans="1:8" x14ac:dyDescent="0.2">
      <c r="A6" s="24" t="s">
        <v>50</v>
      </c>
      <c r="B6" s="25" t="s">
        <v>5</v>
      </c>
      <c r="C6" s="26">
        <v>220</v>
      </c>
      <c r="D6" s="26">
        <v>235</v>
      </c>
      <c r="E6" s="11">
        <f t="shared" si="0"/>
        <v>15</v>
      </c>
      <c r="F6" s="19">
        <f t="shared" si="1"/>
        <v>6.8181818181818177E-2</v>
      </c>
      <c r="G6" s="27" t="str">
        <f t="shared" si="2"/>
        <v>🔴 Over</v>
      </c>
      <c r="H6" s="28"/>
    </row>
    <row r="7" spans="1:8" x14ac:dyDescent="0.2">
      <c r="A7" s="29" t="s">
        <v>50</v>
      </c>
      <c r="B7" s="30" t="s">
        <v>6</v>
      </c>
      <c r="C7" s="31">
        <v>200</v>
      </c>
      <c r="D7" s="31">
        <v>192</v>
      </c>
      <c r="E7" s="11">
        <f t="shared" si="0"/>
        <v>-8</v>
      </c>
      <c r="F7" s="19">
        <f t="shared" si="1"/>
        <v>-0.04</v>
      </c>
      <c r="G7" s="27" t="str">
        <f t="shared" si="2"/>
        <v>🟡 On Track</v>
      </c>
      <c r="H7" s="28"/>
    </row>
    <row r="8" spans="1:8" x14ac:dyDescent="0.2">
      <c r="A8" s="24" t="s">
        <v>50</v>
      </c>
      <c r="B8" s="25" t="s">
        <v>7</v>
      </c>
      <c r="C8" s="26">
        <v>235</v>
      </c>
      <c r="D8" s="26">
        <v>248</v>
      </c>
      <c r="E8" s="11">
        <f t="shared" si="0"/>
        <v>13</v>
      </c>
      <c r="F8" s="19">
        <f t="shared" si="1"/>
        <v>5.5319148936170209E-2</v>
      </c>
      <c r="G8" s="27" t="str">
        <f t="shared" si="2"/>
        <v>🔴 Over</v>
      </c>
      <c r="H8" s="28"/>
    </row>
    <row r="9" spans="1:8" x14ac:dyDescent="0.2">
      <c r="A9" s="29" t="s">
        <v>50</v>
      </c>
      <c r="B9" s="30" t="s">
        <v>8</v>
      </c>
      <c r="C9" s="31">
        <v>290</v>
      </c>
      <c r="D9" s="31">
        <v>285</v>
      </c>
      <c r="E9" s="11">
        <f t="shared" si="0"/>
        <v>-5</v>
      </c>
      <c r="F9" s="19">
        <f t="shared" si="1"/>
        <v>-1.7241379310344827E-2</v>
      </c>
      <c r="G9" s="27" t="str">
        <f t="shared" si="2"/>
        <v>🟡 On Track</v>
      </c>
      <c r="H9" s="28"/>
    </row>
    <row r="10" spans="1:8" x14ac:dyDescent="0.2">
      <c r="A10" s="24" t="s">
        <v>50</v>
      </c>
      <c r="B10" s="25" t="s">
        <v>9</v>
      </c>
      <c r="C10" s="26">
        <v>340</v>
      </c>
      <c r="D10" s="26">
        <v>358</v>
      </c>
      <c r="E10" s="11">
        <f t="shared" si="0"/>
        <v>18</v>
      </c>
      <c r="F10" s="19">
        <f t="shared" si="1"/>
        <v>5.2941176470588235E-2</v>
      </c>
      <c r="G10" s="27" t="str">
        <f t="shared" si="2"/>
        <v>🔴 Over</v>
      </c>
      <c r="H10" s="28"/>
    </row>
    <row r="11" spans="1:8" x14ac:dyDescent="0.2">
      <c r="A11" s="29" t="s">
        <v>50</v>
      </c>
      <c r="B11" s="30" t="s">
        <v>10</v>
      </c>
      <c r="C11" s="31">
        <v>320</v>
      </c>
      <c r="D11" s="31">
        <v>311</v>
      </c>
      <c r="E11" s="11">
        <f t="shared" si="0"/>
        <v>-9</v>
      </c>
      <c r="F11" s="19">
        <f t="shared" si="1"/>
        <v>-2.8125000000000001E-2</v>
      </c>
      <c r="G11" s="27" t="str">
        <f t="shared" si="2"/>
        <v>🟡 On Track</v>
      </c>
      <c r="H11" s="28"/>
    </row>
    <row r="12" spans="1:8" x14ac:dyDescent="0.2">
      <c r="A12" s="24" t="s">
        <v>50</v>
      </c>
      <c r="B12" s="25" t="s">
        <v>11</v>
      </c>
      <c r="C12" s="26">
        <v>270</v>
      </c>
      <c r="D12" s="26">
        <v>265</v>
      </c>
      <c r="E12" s="11">
        <f t="shared" si="0"/>
        <v>-5</v>
      </c>
      <c r="F12" s="19">
        <f t="shared" si="1"/>
        <v>-1.8518518518518517E-2</v>
      </c>
      <c r="G12" s="27" t="str">
        <f t="shared" si="2"/>
        <v>🟡 On Track</v>
      </c>
      <c r="H12" s="28"/>
    </row>
    <row r="13" spans="1:8" x14ac:dyDescent="0.2">
      <c r="A13" s="29" t="s">
        <v>50</v>
      </c>
      <c r="B13" s="30" t="s">
        <v>12</v>
      </c>
      <c r="C13" s="31">
        <v>230</v>
      </c>
      <c r="D13" s="31">
        <v>242</v>
      </c>
      <c r="E13" s="11">
        <f t="shared" si="0"/>
        <v>12</v>
      </c>
      <c r="F13" s="19">
        <f t="shared" si="1"/>
        <v>5.2173913043478258E-2</v>
      </c>
      <c r="G13" s="27" t="str">
        <f t="shared" si="2"/>
        <v>🔴 Over</v>
      </c>
      <c r="H13" s="28"/>
    </row>
    <row r="14" spans="1:8" x14ac:dyDescent="0.2">
      <c r="A14" s="24" t="s">
        <v>50</v>
      </c>
      <c r="B14" s="25" t="s">
        <v>13</v>
      </c>
      <c r="C14" s="26">
        <v>210</v>
      </c>
      <c r="D14" s="26">
        <v>205</v>
      </c>
      <c r="E14" s="11">
        <f t="shared" si="0"/>
        <v>-5</v>
      </c>
      <c r="F14" s="19">
        <f t="shared" si="1"/>
        <v>-2.3809523809523808E-2</v>
      </c>
      <c r="G14" s="27" t="str">
        <f t="shared" si="2"/>
        <v>🟡 On Track</v>
      </c>
      <c r="H14" s="28"/>
    </row>
    <row r="15" spans="1:8" x14ac:dyDescent="0.2">
      <c r="A15" s="29" t="s">
        <v>50</v>
      </c>
      <c r="B15" s="30" t="s">
        <v>14</v>
      </c>
      <c r="C15" s="31">
        <v>320</v>
      </c>
      <c r="D15" s="31">
        <v>335</v>
      </c>
      <c r="E15" s="11">
        <f t="shared" si="0"/>
        <v>15</v>
      </c>
      <c r="F15" s="19">
        <f t="shared" si="1"/>
        <v>4.6875E-2</v>
      </c>
      <c r="G15" s="27" t="str">
        <f t="shared" si="2"/>
        <v>🟡 On Track</v>
      </c>
      <c r="H15" s="28"/>
    </row>
    <row r="16" spans="1:8" x14ac:dyDescent="0.2">
      <c r="A16" s="24" t="s">
        <v>51</v>
      </c>
      <c r="B16" s="25" t="s">
        <v>3</v>
      </c>
      <c r="C16" s="26">
        <v>45</v>
      </c>
      <c r="D16" s="26">
        <v>43</v>
      </c>
      <c r="E16" s="11">
        <f t="shared" si="0"/>
        <v>-2</v>
      </c>
      <c r="F16" s="19">
        <f t="shared" si="1"/>
        <v>-4.4444444444444446E-2</v>
      </c>
      <c r="G16" s="27" t="str">
        <f t="shared" si="2"/>
        <v>🟡 On Track</v>
      </c>
      <c r="H16" s="28"/>
    </row>
    <row r="17" spans="1:8" x14ac:dyDescent="0.2">
      <c r="A17" s="29" t="s">
        <v>51</v>
      </c>
      <c r="B17" s="30" t="s">
        <v>4</v>
      </c>
      <c r="C17" s="31">
        <v>45</v>
      </c>
      <c r="D17" s="31">
        <v>48</v>
      </c>
      <c r="E17" s="11">
        <f t="shared" si="0"/>
        <v>3</v>
      </c>
      <c r="F17" s="19">
        <f t="shared" si="1"/>
        <v>6.6666666666666666E-2</v>
      </c>
      <c r="G17" s="27" t="str">
        <f t="shared" si="2"/>
        <v>🔴 Over</v>
      </c>
      <c r="H17" s="28"/>
    </row>
    <row r="18" spans="1:8" x14ac:dyDescent="0.2">
      <c r="A18" s="24" t="s">
        <v>51</v>
      </c>
      <c r="B18" s="25" t="s">
        <v>5</v>
      </c>
      <c r="C18" s="26">
        <v>50</v>
      </c>
      <c r="D18" s="26">
        <v>51</v>
      </c>
      <c r="E18" s="11">
        <f t="shared" si="0"/>
        <v>1</v>
      </c>
      <c r="F18" s="19">
        <f t="shared" si="1"/>
        <v>0.02</v>
      </c>
      <c r="G18" s="27" t="str">
        <f t="shared" si="2"/>
        <v>🟡 On Track</v>
      </c>
      <c r="H18" s="28"/>
    </row>
    <row r="19" spans="1:8" x14ac:dyDescent="0.2">
      <c r="A19" s="29" t="s">
        <v>51</v>
      </c>
      <c r="B19" s="30" t="s">
        <v>6</v>
      </c>
      <c r="C19" s="31">
        <v>50</v>
      </c>
      <c r="D19" s="31">
        <v>52</v>
      </c>
      <c r="E19" s="11">
        <f t="shared" si="0"/>
        <v>2</v>
      </c>
      <c r="F19" s="19">
        <f t="shared" si="1"/>
        <v>0.04</v>
      </c>
      <c r="G19" s="27" t="str">
        <f t="shared" si="2"/>
        <v>🟡 On Track</v>
      </c>
      <c r="H19" s="28"/>
    </row>
    <row r="20" spans="1:8" x14ac:dyDescent="0.2">
      <c r="A20" s="24" t="s">
        <v>51</v>
      </c>
      <c r="B20" s="25" t="s">
        <v>7</v>
      </c>
      <c r="C20" s="26">
        <v>55</v>
      </c>
      <c r="D20" s="26">
        <v>58</v>
      </c>
      <c r="E20" s="11">
        <f t="shared" si="0"/>
        <v>3</v>
      </c>
      <c r="F20" s="19">
        <f t="shared" si="1"/>
        <v>5.4545454545454543E-2</v>
      </c>
      <c r="G20" s="27" t="str">
        <f t="shared" si="2"/>
        <v>🔴 Over</v>
      </c>
      <c r="H20" s="28"/>
    </row>
    <row r="21" spans="1:8" x14ac:dyDescent="0.2">
      <c r="A21" s="29" t="s">
        <v>51</v>
      </c>
      <c r="B21" s="30" t="s">
        <v>8</v>
      </c>
      <c r="C21" s="31">
        <v>55</v>
      </c>
      <c r="D21" s="31">
        <v>54</v>
      </c>
      <c r="E21" s="11">
        <f t="shared" si="0"/>
        <v>-1</v>
      </c>
      <c r="F21" s="19">
        <f t="shared" si="1"/>
        <v>-1.8181818181818181E-2</v>
      </c>
      <c r="G21" s="27" t="str">
        <f t="shared" si="2"/>
        <v>🟡 On Track</v>
      </c>
      <c r="H21" s="28"/>
    </row>
    <row r="22" spans="1:8" x14ac:dyDescent="0.2">
      <c r="A22" s="24" t="s">
        <v>51</v>
      </c>
      <c r="B22" s="25" t="s">
        <v>9</v>
      </c>
      <c r="C22" s="26">
        <v>60</v>
      </c>
      <c r="D22" s="26">
        <v>65</v>
      </c>
      <c r="E22" s="11">
        <f t="shared" si="0"/>
        <v>5</v>
      </c>
      <c r="F22" s="19">
        <f t="shared" si="1"/>
        <v>8.3333333333333329E-2</v>
      </c>
      <c r="G22" s="27" t="str">
        <f t="shared" si="2"/>
        <v>🔴 Over</v>
      </c>
      <c r="H22" s="28"/>
    </row>
    <row r="23" spans="1:8" x14ac:dyDescent="0.2">
      <c r="A23" s="29" t="s">
        <v>51</v>
      </c>
      <c r="B23" s="30" t="s">
        <v>10</v>
      </c>
      <c r="C23" s="31">
        <v>60</v>
      </c>
      <c r="D23" s="31">
        <v>63</v>
      </c>
      <c r="E23" s="11">
        <f t="shared" si="0"/>
        <v>3</v>
      </c>
      <c r="F23" s="19">
        <f t="shared" si="1"/>
        <v>0.05</v>
      </c>
      <c r="G23" s="27" t="str">
        <f t="shared" si="2"/>
        <v>🟡 On Track</v>
      </c>
      <c r="H23" s="28"/>
    </row>
    <row r="24" spans="1:8" x14ac:dyDescent="0.2">
      <c r="A24" s="24" t="s">
        <v>51</v>
      </c>
      <c r="B24" s="25" t="s">
        <v>11</v>
      </c>
      <c r="C24" s="26">
        <v>60</v>
      </c>
      <c r="D24" s="26">
        <v>59</v>
      </c>
      <c r="E24" s="11">
        <f t="shared" si="0"/>
        <v>-1</v>
      </c>
      <c r="F24" s="19">
        <f t="shared" si="1"/>
        <v>-1.6666666666666666E-2</v>
      </c>
      <c r="G24" s="27" t="str">
        <f t="shared" si="2"/>
        <v>🟡 On Track</v>
      </c>
      <c r="H24" s="28"/>
    </row>
    <row r="25" spans="1:8" x14ac:dyDescent="0.2">
      <c r="A25" s="29" t="s">
        <v>51</v>
      </c>
      <c r="B25" s="30" t="s">
        <v>12</v>
      </c>
      <c r="C25" s="31">
        <v>62</v>
      </c>
      <c r="D25" s="31">
        <v>61</v>
      </c>
      <c r="E25" s="11">
        <f t="shared" si="0"/>
        <v>-1</v>
      </c>
      <c r="F25" s="19">
        <f t="shared" si="1"/>
        <v>-1.6129032258064516E-2</v>
      </c>
      <c r="G25" s="27" t="str">
        <f t="shared" si="2"/>
        <v>🟡 On Track</v>
      </c>
      <c r="H25" s="28"/>
    </row>
    <row r="26" spans="1:8" x14ac:dyDescent="0.2">
      <c r="A26" s="24" t="s">
        <v>51</v>
      </c>
      <c r="B26" s="25" t="s">
        <v>13</v>
      </c>
      <c r="C26" s="26">
        <v>62</v>
      </c>
      <c r="D26" s="26">
        <v>64</v>
      </c>
      <c r="E26" s="11">
        <f t="shared" si="0"/>
        <v>2</v>
      </c>
      <c r="F26" s="19">
        <f t="shared" si="1"/>
        <v>3.2258064516129031E-2</v>
      </c>
      <c r="G26" s="27" t="str">
        <f t="shared" si="2"/>
        <v>🟡 On Track</v>
      </c>
      <c r="H26" s="28"/>
    </row>
    <row r="27" spans="1:8" x14ac:dyDescent="0.2">
      <c r="A27" s="29" t="s">
        <v>51</v>
      </c>
      <c r="B27" s="30" t="s">
        <v>14</v>
      </c>
      <c r="C27" s="31">
        <v>65</v>
      </c>
      <c r="D27" s="31">
        <v>68</v>
      </c>
      <c r="E27" s="11">
        <f t="shared" si="0"/>
        <v>3</v>
      </c>
      <c r="F27" s="19">
        <f t="shared" si="1"/>
        <v>4.6153846153846156E-2</v>
      </c>
      <c r="G27" s="27" t="str">
        <f t="shared" si="2"/>
        <v>🟡 On Track</v>
      </c>
      <c r="H27" s="28"/>
    </row>
    <row r="28" spans="1:8" x14ac:dyDescent="0.2">
      <c r="A28" s="24" t="s">
        <v>52</v>
      </c>
      <c r="B28" s="25" t="s">
        <v>3</v>
      </c>
      <c r="C28" s="26">
        <v>65</v>
      </c>
      <c r="D28" s="26">
        <v>65</v>
      </c>
      <c r="E28" s="11">
        <f t="shared" si="0"/>
        <v>0</v>
      </c>
      <c r="F28" s="19">
        <f t="shared" si="1"/>
        <v>0</v>
      </c>
      <c r="G28" s="27" t="str">
        <f t="shared" si="2"/>
        <v>🟡 On Track</v>
      </c>
      <c r="H28" s="28"/>
    </row>
    <row r="29" spans="1:8" x14ac:dyDescent="0.2">
      <c r="A29" s="29" t="s">
        <v>52</v>
      </c>
      <c r="B29" s="30" t="s">
        <v>4</v>
      </c>
      <c r="C29" s="31">
        <v>65</v>
      </c>
      <c r="D29" s="31">
        <v>66</v>
      </c>
      <c r="E29" s="11">
        <f t="shared" si="0"/>
        <v>1</v>
      </c>
      <c r="F29" s="19">
        <f t="shared" si="1"/>
        <v>1.5384615384615385E-2</v>
      </c>
      <c r="G29" s="27" t="str">
        <f t="shared" si="2"/>
        <v>🟡 On Track</v>
      </c>
      <c r="H29" s="28"/>
    </row>
    <row r="30" spans="1:8" x14ac:dyDescent="0.2">
      <c r="A30" s="24" t="s">
        <v>52</v>
      </c>
      <c r="B30" s="25" t="s">
        <v>5</v>
      </c>
      <c r="C30" s="26">
        <v>65</v>
      </c>
      <c r="D30" s="26">
        <v>65</v>
      </c>
      <c r="E30" s="11">
        <f t="shared" si="0"/>
        <v>0</v>
      </c>
      <c r="F30" s="19">
        <f t="shared" si="1"/>
        <v>0</v>
      </c>
      <c r="G30" s="27" t="str">
        <f t="shared" si="2"/>
        <v>🟡 On Track</v>
      </c>
      <c r="H30" s="28"/>
    </row>
    <row r="31" spans="1:8" x14ac:dyDescent="0.2">
      <c r="A31" s="29" t="s">
        <v>52</v>
      </c>
      <c r="B31" s="30" t="s">
        <v>6</v>
      </c>
      <c r="C31" s="31">
        <v>65</v>
      </c>
      <c r="D31" s="31">
        <v>67</v>
      </c>
      <c r="E31" s="11">
        <f t="shared" si="0"/>
        <v>2</v>
      </c>
      <c r="F31" s="19">
        <f t="shared" si="1"/>
        <v>3.0769230769230771E-2</v>
      </c>
      <c r="G31" s="27" t="str">
        <f t="shared" si="2"/>
        <v>🟡 On Track</v>
      </c>
      <c r="H31" s="28"/>
    </row>
    <row r="32" spans="1:8" x14ac:dyDescent="0.2">
      <c r="A32" s="24" t="s">
        <v>52</v>
      </c>
      <c r="B32" s="25" t="s">
        <v>7</v>
      </c>
      <c r="C32" s="26">
        <v>65</v>
      </c>
      <c r="D32" s="26">
        <v>66</v>
      </c>
      <c r="E32" s="11">
        <f t="shared" si="0"/>
        <v>1</v>
      </c>
      <c r="F32" s="19">
        <f t="shared" si="1"/>
        <v>1.5384615384615385E-2</v>
      </c>
      <c r="G32" s="27" t="str">
        <f t="shared" si="2"/>
        <v>🟡 On Track</v>
      </c>
      <c r="H32" s="28"/>
    </row>
    <row r="33" spans="1:8" x14ac:dyDescent="0.2">
      <c r="A33" s="29" t="s">
        <v>52</v>
      </c>
      <c r="B33" s="30" t="s">
        <v>8</v>
      </c>
      <c r="C33" s="31">
        <v>68</v>
      </c>
      <c r="D33" s="31">
        <v>70</v>
      </c>
      <c r="E33" s="11">
        <f t="shared" si="0"/>
        <v>2</v>
      </c>
      <c r="F33" s="19">
        <f t="shared" si="1"/>
        <v>2.9411764705882353E-2</v>
      </c>
      <c r="G33" s="27" t="str">
        <f t="shared" si="2"/>
        <v>🟡 On Track</v>
      </c>
      <c r="H33" s="28"/>
    </row>
    <row r="34" spans="1:8" x14ac:dyDescent="0.2">
      <c r="A34" s="24" t="s">
        <v>52</v>
      </c>
      <c r="B34" s="25" t="s">
        <v>9</v>
      </c>
      <c r="C34" s="26">
        <v>68</v>
      </c>
      <c r="D34" s="26">
        <v>69</v>
      </c>
      <c r="E34" s="11">
        <f t="shared" si="0"/>
        <v>1</v>
      </c>
      <c r="F34" s="19">
        <f t="shared" si="1"/>
        <v>1.4705882352941176E-2</v>
      </c>
      <c r="G34" s="27" t="str">
        <f t="shared" si="2"/>
        <v>🟡 On Track</v>
      </c>
      <c r="H34" s="28"/>
    </row>
    <row r="35" spans="1:8" x14ac:dyDescent="0.2">
      <c r="A35" s="29" t="s">
        <v>52</v>
      </c>
      <c r="B35" s="30" t="s">
        <v>10</v>
      </c>
      <c r="C35" s="31">
        <v>68</v>
      </c>
      <c r="D35" s="31">
        <v>68</v>
      </c>
      <c r="E35" s="11">
        <f t="shared" si="0"/>
        <v>0</v>
      </c>
      <c r="F35" s="19">
        <f t="shared" si="1"/>
        <v>0</v>
      </c>
      <c r="G35" s="27" t="str">
        <f t="shared" si="2"/>
        <v>🟡 On Track</v>
      </c>
      <c r="H35" s="28"/>
    </row>
    <row r="36" spans="1:8" x14ac:dyDescent="0.2">
      <c r="A36" s="24" t="s">
        <v>52</v>
      </c>
      <c r="B36" s="25" t="s">
        <v>11</v>
      </c>
      <c r="C36" s="26">
        <v>68</v>
      </c>
      <c r="D36" s="26">
        <v>68</v>
      </c>
      <c r="E36" s="11">
        <f t="shared" ref="E36:E67" si="3">D36-C36</f>
        <v>0</v>
      </c>
      <c r="F36" s="19">
        <f t="shared" ref="F36:F63" si="4">IF(C36=0,"-",(D36-C36)/C36)</f>
        <v>0</v>
      </c>
      <c r="G36" s="27" t="str">
        <f t="shared" ref="G36:G67" si="5">IF(F36&gt;0.05,"🔴 Over",IF(F36&lt;-0.05,"🟢 Under","🟡 On Track"))</f>
        <v>🟡 On Track</v>
      </c>
      <c r="H36" s="28"/>
    </row>
    <row r="37" spans="1:8" x14ac:dyDescent="0.2">
      <c r="A37" s="29" t="s">
        <v>52</v>
      </c>
      <c r="B37" s="30" t="s">
        <v>12</v>
      </c>
      <c r="C37" s="31">
        <v>68</v>
      </c>
      <c r="D37" s="31">
        <v>69</v>
      </c>
      <c r="E37" s="11">
        <f t="shared" si="3"/>
        <v>1</v>
      </c>
      <c r="F37" s="19">
        <f t="shared" si="4"/>
        <v>1.4705882352941176E-2</v>
      </c>
      <c r="G37" s="27" t="str">
        <f t="shared" si="5"/>
        <v>🟡 On Track</v>
      </c>
      <c r="H37" s="28"/>
    </row>
    <row r="38" spans="1:8" x14ac:dyDescent="0.2">
      <c r="A38" s="24" t="s">
        <v>52</v>
      </c>
      <c r="B38" s="25" t="s">
        <v>13</v>
      </c>
      <c r="C38" s="26">
        <v>68</v>
      </c>
      <c r="D38" s="26">
        <v>68</v>
      </c>
      <c r="E38" s="11">
        <f t="shared" si="3"/>
        <v>0</v>
      </c>
      <c r="F38" s="19">
        <f t="shared" si="4"/>
        <v>0</v>
      </c>
      <c r="G38" s="27" t="str">
        <f t="shared" si="5"/>
        <v>🟡 On Track</v>
      </c>
      <c r="H38" s="28"/>
    </row>
    <row r="39" spans="1:8" x14ac:dyDescent="0.2">
      <c r="A39" s="29" t="s">
        <v>52</v>
      </c>
      <c r="B39" s="30" t="s">
        <v>14</v>
      </c>
      <c r="C39" s="31">
        <v>70</v>
      </c>
      <c r="D39" s="31">
        <v>72</v>
      </c>
      <c r="E39" s="11">
        <f t="shared" si="3"/>
        <v>2</v>
      </c>
      <c r="F39" s="19">
        <f t="shared" si="4"/>
        <v>2.8571428571428571E-2</v>
      </c>
      <c r="G39" s="27" t="str">
        <f t="shared" si="5"/>
        <v>🟡 On Track</v>
      </c>
      <c r="H39" s="28"/>
    </row>
    <row r="40" spans="1:8" x14ac:dyDescent="0.2">
      <c r="A40" s="24" t="s">
        <v>53</v>
      </c>
      <c r="B40" s="25" t="s">
        <v>3</v>
      </c>
      <c r="C40" s="26">
        <v>38</v>
      </c>
      <c r="D40" s="26">
        <v>35</v>
      </c>
      <c r="E40" s="11">
        <f t="shared" si="3"/>
        <v>-3</v>
      </c>
      <c r="F40" s="19">
        <f t="shared" si="4"/>
        <v>-7.8947368421052627E-2</v>
      </c>
      <c r="G40" s="27" t="str">
        <f t="shared" si="5"/>
        <v>🟢 Under</v>
      </c>
      <c r="H40" s="28"/>
    </row>
    <row r="41" spans="1:8" x14ac:dyDescent="0.2">
      <c r="A41" s="29" t="s">
        <v>53</v>
      </c>
      <c r="B41" s="30" t="s">
        <v>4</v>
      </c>
      <c r="C41" s="31">
        <v>40</v>
      </c>
      <c r="D41" s="31">
        <v>41</v>
      </c>
      <c r="E41" s="11">
        <f t="shared" si="3"/>
        <v>1</v>
      </c>
      <c r="F41" s="19">
        <f t="shared" si="4"/>
        <v>2.5000000000000001E-2</v>
      </c>
      <c r="G41" s="27" t="str">
        <f t="shared" si="5"/>
        <v>🟡 On Track</v>
      </c>
      <c r="H41" s="28"/>
    </row>
    <row r="42" spans="1:8" x14ac:dyDescent="0.2">
      <c r="A42" s="24" t="s">
        <v>53</v>
      </c>
      <c r="B42" s="25" t="s">
        <v>5</v>
      </c>
      <c r="C42" s="26">
        <v>45</v>
      </c>
      <c r="D42" s="26">
        <v>48</v>
      </c>
      <c r="E42" s="11">
        <f t="shared" si="3"/>
        <v>3</v>
      </c>
      <c r="F42" s="19">
        <f t="shared" si="4"/>
        <v>6.6666666666666666E-2</v>
      </c>
      <c r="G42" s="27" t="str">
        <f t="shared" si="5"/>
        <v>🔴 Over</v>
      </c>
      <c r="H42" s="28"/>
    </row>
    <row r="43" spans="1:8" x14ac:dyDescent="0.2">
      <c r="A43" s="29" t="s">
        <v>53</v>
      </c>
      <c r="B43" s="30" t="s">
        <v>6</v>
      </c>
      <c r="C43" s="31">
        <v>42</v>
      </c>
      <c r="D43" s="31">
        <v>40</v>
      </c>
      <c r="E43" s="11">
        <f t="shared" si="3"/>
        <v>-2</v>
      </c>
      <c r="F43" s="19">
        <f t="shared" si="4"/>
        <v>-4.7619047619047616E-2</v>
      </c>
      <c r="G43" s="27" t="str">
        <f t="shared" si="5"/>
        <v>🟡 On Track</v>
      </c>
      <c r="H43" s="28"/>
    </row>
    <row r="44" spans="1:8" x14ac:dyDescent="0.2">
      <c r="A44" s="24" t="s">
        <v>53</v>
      </c>
      <c r="B44" s="25" t="s">
        <v>7</v>
      </c>
      <c r="C44" s="26">
        <v>48</v>
      </c>
      <c r="D44" s="26">
        <v>50</v>
      </c>
      <c r="E44" s="11">
        <f t="shared" si="3"/>
        <v>2</v>
      </c>
      <c r="F44" s="19">
        <f t="shared" si="4"/>
        <v>4.1666666666666664E-2</v>
      </c>
      <c r="G44" s="27" t="str">
        <f t="shared" si="5"/>
        <v>🟡 On Track</v>
      </c>
      <c r="H44" s="28"/>
    </row>
    <row r="45" spans="1:8" x14ac:dyDescent="0.2">
      <c r="A45" s="29" t="s">
        <v>53</v>
      </c>
      <c r="B45" s="30" t="s">
        <v>8</v>
      </c>
      <c r="C45" s="31">
        <v>52</v>
      </c>
      <c r="D45" s="31">
        <v>55</v>
      </c>
      <c r="E45" s="11">
        <f t="shared" si="3"/>
        <v>3</v>
      </c>
      <c r="F45" s="19">
        <f t="shared" si="4"/>
        <v>5.7692307692307696E-2</v>
      </c>
      <c r="G45" s="27" t="str">
        <f t="shared" si="5"/>
        <v>🔴 Over</v>
      </c>
      <c r="H45" s="28"/>
    </row>
    <row r="46" spans="1:8" x14ac:dyDescent="0.2">
      <c r="A46" s="24" t="s">
        <v>53</v>
      </c>
      <c r="B46" s="25" t="s">
        <v>9</v>
      </c>
      <c r="C46" s="26">
        <v>60</v>
      </c>
      <c r="D46" s="26">
        <v>58</v>
      </c>
      <c r="E46" s="11">
        <f t="shared" si="3"/>
        <v>-2</v>
      </c>
      <c r="F46" s="19">
        <f t="shared" si="4"/>
        <v>-3.3333333333333333E-2</v>
      </c>
      <c r="G46" s="27" t="str">
        <f t="shared" si="5"/>
        <v>🟡 On Track</v>
      </c>
      <c r="H46" s="28"/>
    </row>
    <row r="47" spans="1:8" x14ac:dyDescent="0.2">
      <c r="A47" s="29" t="s">
        <v>53</v>
      </c>
      <c r="B47" s="30" t="s">
        <v>10</v>
      </c>
      <c r="C47" s="31">
        <v>55</v>
      </c>
      <c r="D47" s="31">
        <v>57</v>
      </c>
      <c r="E47" s="11">
        <f t="shared" si="3"/>
        <v>2</v>
      </c>
      <c r="F47" s="19">
        <f t="shared" si="4"/>
        <v>3.6363636363636362E-2</v>
      </c>
      <c r="G47" s="27" t="str">
        <f t="shared" si="5"/>
        <v>🟡 On Track</v>
      </c>
      <c r="H47" s="28"/>
    </row>
    <row r="48" spans="1:8" x14ac:dyDescent="0.2">
      <c r="A48" s="24" t="s">
        <v>53</v>
      </c>
      <c r="B48" s="25" t="s">
        <v>11</v>
      </c>
      <c r="C48" s="26">
        <v>50</v>
      </c>
      <c r="D48" s="26">
        <v>52</v>
      </c>
      <c r="E48" s="11">
        <f t="shared" si="3"/>
        <v>2</v>
      </c>
      <c r="F48" s="19">
        <f t="shared" si="4"/>
        <v>0.04</v>
      </c>
      <c r="G48" s="27" t="str">
        <f t="shared" si="5"/>
        <v>🟡 On Track</v>
      </c>
      <c r="H48" s="28"/>
    </row>
    <row r="49" spans="1:8" x14ac:dyDescent="0.2">
      <c r="A49" s="29" t="s">
        <v>53</v>
      </c>
      <c r="B49" s="30" t="s">
        <v>12</v>
      </c>
      <c r="C49" s="31">
        <v>45</v>
      </c>
      <c r="D49" s="31">
        <v>43</v>
      </c>
      <c r="E49" s="11">
        <f t="shared" si="3"/>
        <v>-2</v>
      </c>
      <c r="F49" s="19">
        <f t="shared" si="4"/>
        <v>-4.4444444444444446E-2</v>
      </c>
      <c r="G49" s="27" t="str">
        <f t="shared" si="5"/>
        <v>🟡 On Track</v>
      </c>
      <c r="H49" s="28"/>
    </row>
    <row r="50" spans="1:8" x14ac:dyDescent="0.2">
      <c r="A50" s="24" t="s">
        <v>53</v>
      </c>
      <c r="B50" s="25" t="s">
        <v>13</v>
      </c>
      <c r="C50" s="26">
        <v>42</v>
      </c>
      <c r="D50" s="26">
        <v>45</v>
      </c>
      <c r="E50" s="11">
        <f t="shared" si="3"/>
        <v>3</v>
      </c>
      <c r="F50" s="19">
        <f t="shared" si="4"/>
        <v>7.1428571428571425E-2</v>
      </c>
      <c r="G50" s="27" t="str">
        <f t="shared" si="5"/>
        <v>🔴 Over</v>
      </c>
      <c r="H50" s="28"/>
    </row>
    <row r="51" spans="1:8" x14ac:dyDescent="0.2">
      <c r="A51" s="29" t="s">
        <v>53</v>
      </c>
      <c r="B51" s="30" t="s">
        <v>14</v>
      </c>
      <c r="C51" s="31">
        <v>58</v>
      </c>
      <c r="D51" s="31">
        <v>60</v>
      </c>
      <c r="E51" s="11">
        <f t="shared" si="3"/>
        <v>2</v>
      </c>
      <c r="F51" s="19">
        <f t="shared" si="4"/>
        <v>3.4482758620689655E-2</v>
      </c>
      <c r="G51" s="27" t="str">
        <f t="shared" si="5"/>
        <v>🟡 On Track</v>
      </c>
      <c r="H51" s="28"/>
    </row>
    <row r="52" spans="1:8" x14ac:dyDescent="0.2">
      <c r="A52" s="24" t="s">
        <v>54</v>
      </c>
      <c r="B52" s="25" t="s">
        <v>3</v>
      </c>
      <c r="C52" s="26">
        <v>280</v>
      </c>
      <c r="D52" s="26">
        <v>275</v>
      </c>
      <c r="E52" s="11">
        <f t="shared" si="3"/>
        <v>-5</v>
      </c>
      <c r="F52" s="19">
        <f t="shared" si="4"/>
        <v>-1.7857142857142856E-2</v>
      </c>
      <c r="G52" s="27" t="str">
        <f t="shared" si="5"/>
        <v>🟡 On Track</v>
      </c>
      <c r="H52" s="28"/>
    </row>
    <row r="53" spans="1:8" x14ac:dyDescent="0.2">
      <c r="A53" s="29" t="s">
        <v>54</v>
      </c>
      <c r="B53" s="30" t="s">
        <v>4</v>
      </c>
      <c r="C53" s="31">
        <v>280</v>
      </c>
      <c r="D53" s="31">
        <v>285</v>
      </c>
      <c r="E53" s="11">
        <f t="shared" si="3"/>
        <v>5</v>
      </c>
      <c r="F53" s="19">
        <f t="shared" si="4"/>
        <v>1.7857142857142856E-2</v>
      </c>
      <c r="G53" s="27" t="str">
        <f t="shared" si="5"/>
        <v>🟡 On Track</v>
      </c>
      <c r="H53" s="28"/>
    </row>
    <row r="54" spans="1:8" x14ac:dyDescent="0.2">
      <c r="A54" s="24" t="s">
        <v>54</v>
      </c>
      <c r="B54" s="25" t="s">
        <v>5</v>
      </c>
      <c r="C54" s="26">
        <v>290</v>
      </c>
      <c r="D54" s="26">
        <v>292</v>
      </c>
      <c r="E54" s="11">
        <f t="shared" si="3"/>
        <v>2</v>
      </c>
      <c r="F54" s="19">
        <f t="shared" si="4"/>
        <v>6.8965517241379309E-3</v>
      </c>
      <c r="G54" s="27" t="str">
        <f t="shared" si="5"/>
        <v>🟡 On Track</v>
      </c>
      <c r="H54" s="28"/>
    </row>
    <row r="55" spans="1:8" x14ac:dyDescent="0.2">
      <c r="A55" s="29" t="s">
        <v>54</v>
      </c>
      <c r="B55" s="30" t="s">
        <v>6</v>
      </c>
      <c r="C55" s="31">
        <v>290</v>
      </c>
      <c r="D55" s="31">
        <v>295</v>
      </c>
      <c r="E55" s="11">
        <f t="shared" si="3"/>
        <v>5</v>
      </c>
      <c r="F55" s="19">
        <f t="shared" si="4"/>
        <v>1.7241379310344827E-2</v>
      </c>
      <c r="G55" s="27" t="str">
        <f t="shared" si="5"/>
        <v>🟡 On Track</v>
      </c>
      <c r="H55" s="28"/>
    </row>
    <row r="56" spans="1:8" x14ac:dyDescent="0.2">
      <c r="A56" s="24" t="s">
        <v>54</v>
      </c>
      <c r="B56" s="25" t="s">
        <v>7</v>
      </c>
      <c r="C56" s="26">
        <v>290</v>
      </c>
      <c r="D56" s="26">
        <v>288</v>
      </c>
      <c r="E56" s="11">
        <f t="shared" si="3"/>
        <v>-2</v>
      </c>
      <c r="F56" s="19">
        <f t="shared" si="4"/>
        <v>-6.8965517241379309E-3</v>
      </c>
      <c r="G56" s="27" t="str">
        <f t="shared" si="5"/>
        <v>🟡 On Track</v>
      </c>
      <c r="H56" s="28"/>
    </row>
    <row r="57" spans="1:8" x14ac:dyDescent="0.2">
      <c r="A57" s="29" t="s">
        <v>54</v>
      </c>
      <c r="B57" s="30" t="s">
        <v>8</v>
      </c>
      <c r="C57" s="31">
        <v>310</v>
      </c>
      <c r="D57" s="31">
        <v>315</v>
      </c>
      <c r="E57" s="11">
        <f t="shared" si="3"/>
        <v>5</v>
      </c>
      <c r="F57" s="19">
        <f t="shared" si="4"/>
        <v>1.6129032258064516E-2</v>
      </c>
      <c r="G57" s="27" t="str">
        <f t="shared" si="5"/>
        <v>🟡 On Track</v>
      </c>
      <c r="H57" s="28"/>
    </row>
    <row r="58" spans="1:8" x14ac:dyDescent="0.2">
      <c r="A58" s="24" t="s">
        <v>54</v>
      </c>
      <c r="B58" s="25" t="s">
        <v>9</v>
      </c>
      <c r="C58" s="26">
        <v>310</v>
      </c>
      <c r="D58" s="26">
        <v>318</v>
      </c>
      <c r="E58" s="11">
        <f t="shared" si="3"/>
        <v>8</v>
      </c>
      <c r="F58" s="19">
        <f t="shared" si="4"/>
        <v>2.5806451612903226E-2</v>
      </c>
      <c r="G58" s="27" t="str">
        <f t="shared" si="5"/>
        <v>🟡 On Track</v>
      </c>
      <c r="H58" s="28"/>
    </row>
    <row r="59" spans="1:8" x14ac:dyDescent="0.2">
      <c r="A59" s="29" t="s">
        <v>54</v>
      </c>
      <c r="B59" s="30" t="s">
        <v>10</v>
      </c>
      <c r="C59" s="31">
        <v>310</v>
      </c>
      <c r="D59" s="31">
        <v>306</v>
      </c>
      <c r="E59" s="11">
        <f t="shared" si="3"/>
        <v>-4</v>
      </c>
      <c r="F59" s="19">
        <f t="shared" si="4"/>
        <v>-1.2903225806451613E-2</v>
      </c>
      <c r="G59" s="27" t="str">
        <f t="shared" si="5"/>
        <v>🟡 On Track</v>
      </c>
      <c r="H59" s="28"/>
    </row>
    <row r="60" spans="1:8" x14ac:dyDescent="0.2">
      <c r="A60" s="24" t="s">
        <v>54</v>
      </c>
      <c r="B60" s="25" t="s">
        <v>11</v>
      </c>
      <c r="C60" s="26">
        <v>310</v>
      </c>
      <c r="D60" s="26">
        <v>312</v>
      </c>
      <c r="E60" s="11">
        <f t="shared" si="3"/>
        <v>2</v>
      </c>
      <c r="F60" s="19">
        <f t="shared" si="4"/>
        <v>6.4516129032258064E-3</v>
      </c>
      <c r="G60" s="27" t="str">
        <f t="shared" si="5"/>
        <v>🟡 On Track</v>
      </c>
      <c r="H60" s="28"/>
    </row>
    <row r="61" spans="1:8" x14ac:dyDescent="0.2">
      <c r="A61" s="29" t="s">
        <v>54</v>
      </c>
      <c r="B61" s="30" t="s">
        <v>12</v>
      </c>
      <c r="C61" s="31">
        <v>310</v>
      </c>
      <c r="D61" s="31">
        <v>315</v>
      </c>
      <c r="E61" s="11">
        <f t="shared" si="3"/>
        <v>5</v>
      </c>
      <c r="F61" s="19">
        <f t="shared" si="4"/>
        <v>1.6129032258064516E-2</v>
      </c>
      <c r="G61" s="27" t="str">
        <f t="shared" si="5"/>
        <v>🟡 On Track</v>
      </c>
      <c r="H61" s="28"/>
    </row>
    <row r="62" spans="1:8" x14ac:dyDescent="0.2">
      <c r="A62" s="24" t="s">
        <v>54</v>
      </c>
      <c r="B62" s="25" t="s">
        <v>13</v>
      </c>
      <c r="C62" s="26">
        <v>320</v>
      </c>
      <c r="D62" s="26">
        <v>322</v>
      </c>
      <c r="E62" s="11">
        <f t="shared" si="3"/>
        <v>2</v>
      </c>
      <c r="F62" s="19">
        <f t="shared" si="4"/>
        <v>6.2500000000000003E-3</v>
      </c>
      <c r="G62" s="27" t="str">
        <f t="shared" si="5"/>
        <v>🟡 On Track</v>
      </c>
      <c r="H62" s="28"/>
    </row>
    <row r="63" spans="1:8" x14ac:dyDescent="0.2">
      <c r="A63" s="29" t="s">
        <v>54</v>
      </c>
      <c r="B63" s="30" t="s">
        <v>14</v>
      </c>
      <c r="C63" s="31">
        <v>320</v>
      </c>
      <c r="D63" s="31">
        <v>325</v>
      </c>
      <c r="E63" s="11">
        <f t="shared" si="3"/>
        <v>5</v>
      </c>
      <c r="F63" s="19">
        <f t="shared" si="4"/>
        <v>1.5625E-2</v>
      </c>
      <c r="G63" s="27" t="str">
        <f t="shared" si="5"/>
        <v>🟡 On Track</v>
      </c>
      <c r="H63" s="28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5" sqref="F25"/>
    </sheetView>
  </sheetViews>
  <sheetFormatPr baseColWidth="10" defaultColWidth="8.6640625" defaultRowHeight="15" customHeight="1" x14ac:dyDescent="0.2"/>
  <cols>
    <col min="1" max="1" width="28" customWidth="1"/>
    <col min="2" max="13" width="10" customWidth="1"/>
    <col min="14" max="14" width="12" customWidth="1"/>
  </cols>
  <sheetData>
    <row r="1" spans="1:14" ht="27.75" customHeight="1" x14ac:dyDescent="0.2">
      <c r="A1" s="5" t="s">
        <v>55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">
      <c r="A2" s="4" t="s">
        <v>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7" t="s">
        <v>14</v>
      </c>
      <c r="N3" s="8" t="s">
        <v>15</v>
      </c>
    </row>
    <row r="4" spans="1:14" x14ac:dyDescent="0.2">
      <c r="A4" s="32" t="s">
        <v>57</v>
      </c>
      <c r="B4" s="10">
        <v>2500</v>
      </c>
      <c r="C4" s="10">
        <v>2280</v>
      </c>
      <c r="D4" s="10">
        <v>2185</v>
      </c>
      <c r="E4" s="10">
        <v>2060</v>
      </c>
      <c r="F4" s="10">
        <v>2120</v>
      </c>
      <c r="G4" s="10">
        <v>2230</v>
      </c>
      <c r="H4" s="10">
        <v>2480</v>
      </c>
      <c r="I4" s="10">
        <v>2390</v>
      </c>
      <c r="J4" s="10">
        <v>2310</v>
      </c>
      <c r="K4" s="10">
        <v>2450</v>
      </c>
      <c r="L4" s="10">
        <v>2580</v>
      </c>
      <c r="M4" s="10">
        <v>2690</v>
      </c>
      <c r="N4" s="33">
        <f>SUM(B4:M4)</f>
        <v>28275</v>
      </c>
    </row>
    <row r="5" spans="1:14" x14ac:dyDescent="0.2">
      <c r="A5" s="9" t="s">
        <v>58</v>
      </c>
      <c r="B5" s="10">
        <v>1180</v>
      </c>
      <c r="C5" s="10">
        <v>1240</v>
      </c>
      <c r="D5" s="10">
        <v>1380</v>
      </c>
      <c r="E5" s="10">
        <v>1310</v>
      </c>
      <c r="F5" s="10">
        <v>1445</v>
      </c>
      <c r="G5" s="10">
        <v>1700</v>
      </c>
      <c r="H5" s="10">
        <v>1990</v>
      </c>
      <c r="I5" s="10">
        <v>1910</v>
      </c>
      <c r="J5" s="10">
        <v>1660</v>
      </c>
      <c r="K5" s="10">
        <v>1440</v>
      </c>
      <c r="L5" s="10">
        <v>1330</v>
      </c>
      <c r="M5" s="10">
        <v>2020</v>
      </c>
      <c r="N5" s="33">
        <f>SUM(B5:M5)</f>
        <v>18605</v>
      </c>
    </row>
    <row r="6" spans="1:14" x14ac:dyDescent="0.2">
      <c r="A6" s="9" t="s">
        <v>59</v>
      </c>
      <c r="B6" s="10">
        <v>30</v>
      </c>
      <c r="C6" s="10">
        <v>25</v>
      </c>
      <c r="D6" s="10">
        <v>40</v>
      </c>
      <c r="E6" s="10">
        <v>35</v>
      </c>
      <c r="F6" s="10">
        <v>45</v>
      </c>
      <c r="G6" s="10">
        <v>55</v>
      </c>
      <c r="H6" s="10">
        <v>70</v>
      </c>
      <c r="I6" s="10">
        <v>65</v>
      </c>
      <c r="J6" s="10">
        <v>50</v>
      </c>
      <c r="K6" s="10">
        <v>40</v>
      </c>
      <c r="L6" s="10">
        <v>38</v>
      </c>
      <c r="M6" s="10">
        <v>60</v>
      </c>
      <c r="N6" s="33">
        <f>SUM(B6:M6)</f>
        <v>553</v>
      </c>
    </row>
    <row r="7" spans="1:14" x14ac:dyDescent="0.2">
      <c r="A7" s="16" t="s">
        <v>60</v>
      </c>
      <c r="B7" s="17">
        <f t="shared" ref="B7:M7" si="0">B5+B6</f>
        <v>1210</v>
      </c>
      <c r="C7" s="17">
        <f t="shared" si="0"/>
        <v>1265</v>
      </c>
      <c r="D7" s="17">
        <f t="shared" si="0"/>
        <v>1420</v>
      </c>
      <c r="E7" s="17">
        <f t="shared" si="0"/>
        <v>1345</v>
      </c>
      <c r="F7" s="17">
        <f t="shared" si="0"/>
        <v>1490</v>
      </c>
      <c r="G7" s="17">
        <f t="shared" si="0"/>
        <v>1755</v>
      </c>
      <c r="H7" s="17">
        <f t="shared" si="0"/>
        <v>2060</v>
      </c>
      <c r="I7" s="17">
        <f t="shared" si="0"/>
        <v>1975</v>
      </c>
      <c r="J7" s="17">
        <f t="shared" si="0"/>
        <v>1710</v>
      </c>
      <c r="K7" s="17">
        <f t="shared" si="0"/>
        <v>1480</v>
      </c>
      <c r="L7" s="17">
        <f t="shared" si="0"/>
        <v>1368</v>
      </c>
      <c r="M7" s="17">
        <f t="shared" si="0"/>
        <v>2080</v>
      </c>
      <c r="N7" s="34">
        <f>SUM(B7:M7)</f>
        <v>19158</v>
      </c>
    </row>
    <row r="8" spans="1:14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x14ac:dyDescent="0.2">
      <c r="A9" s="9" t="s">
        <v>61</v>
      </c>
      <c r="B9" s="10">
        <v>640</v>
      </c>
      <c r="C9" s="10">
        <v>665</v>
      </c>
      <c r="D9" s="10">
        <v>720</v>
      </c>
      <c r="E9" s="10">
        <v>680</v>
      </c>
      <c r="F9" s="10">
        <v>740</v>
      </c>
      <c r="G9" s="10">
        <v>880</v>
      </c>
      <c r="H9" s="10">
        <v>1035</v>
      </c>
      <c r="I9" s="10">
        <v>995</v>
      </c>
      <c r="J9" s="10">
        <v>840</v>
      </c>
      <c r="K9" s="10">
        <v>720</v>
      </c>
      <c r="L9" s="10">
        <v>665</v>
      </c>
      <c r="M9" s="10">
        <v>975</v>
      </c>
      <c r="N9" s="33">
        <f t="shared" ref="N9:N16" si="1">SUM(B9:M9)</f>
        <v>9555</v>
      </c>
    </row>
    <row r="10" spans="1:14" x14ac:dyDescent="0.2">
      <c r="A10" s="9" t="s">
        <v>62</v>
      </c>
      <c r="B10" s="10">
        <v>350</v>
      </c>
      <c r="C10" s="10">
        <v>350</v>
      </c>
      <c r="D10" s="10">
        <v>360</v>
      </c>
      <c r="E10" s="10">
        <v>360</v>
      </c>
      <c r="F10" s="10">
        <v>360</v>
      </c>
      <c r="G10" s="10">
        <v>380</v>
      </c>
      <c r="H10" s="10">
        <v>380</v>
      </c>
      <c r="I10" s="10">
        <v>380</v>
      </c>
      <c r="J10" s="10">
        <v>380</v>
      </c>
      <c r="K10" s="10">
        <v>380</v>
      </c>
      <c r="L10" s="10">
        <v>390</v>
      </c>
      <c r="M10" s="10">
        <v>390</v>
      </c>
      <c r="N10" s="33">
        <f t="shared" si="1"/>
        <v>4460</v>
      </c>
    </row>
    <row r="11" spans="1:14" x14ac:dyDescent="0.2">
      <c r="A11" s="9" t="s">
        <v>63</v>
      </c>
      <c r="B11" s="10">
        <v>185</v>
      </c>
      <c r="C11" s="10">
        <v>195</v>
      </c>
      <c r="D11" s="10">
        <v>220</v>
      </c>
      <c r="E11" s="10">
        <v>200</v>
      </c>
      <c r="F11" s="10">
        <v>235</v>
      </c>
      <c r="G11" s="10">
        <v>290</v>
      </c>
      <c r="H11" s="10">
        <v>340</v>
      </c>
      <c r="I11" s="10">
        <v>320</v>
      </c>
      <c r="J11" s="10">
        <v>270</v>
      </c>
      <c r="K11" s="10">
        <v>230</v>
      </c>
      <c r="L11" s="10">
        <v>210</v>
      </c>
      <c r="M11" s="10">
        <v>320</v>
      </c>
      <c r="N11" s="33">
        <f t="shared" si="1"/>
        <v>3015</v>
      </c>
    </row>
    <row r="12" spans="1:14" x14ac:dyDescent="0.2">
      <c r="A12" s="9" t="s">
        <v>30</v>
      </c>
      <c r="B12" s="10">
        <v>65</v>
      </c>
      <c r="C12" s="10">
        <v>65</v>
      </c>
      <c r="D12" s="10">
        <v>65</v>
      </c>
      <c r="E12" s="10">
        <v>65</v>
      </c>
      <c r="F12" s="10">
        <v>65</v>
      </c>
      <c r="G12" s="10">
        <v>68</v>
      </c>
      <c r="H12" s="10">
        <v>68</v>
      </c>
      <c r="I12" s="10">
        <v>68</v>
      </c>
      <c r="J12" s="10">
        <v>68</v>
      </c>
      <c r="K12" s="10">
        <v>68</v>
      </c>
      <c r="L12" s="10">
        <v>68</v>
      </c>
      <c r="M12" s="10">
        <v>70</v>
      </c>
      <c r="N12" s="33">
        <f t="shared" si="1"/>
        <v>803</v>
      </c>
    </row>
    <row r="13" spans="1:14" x14ac:dyDescent="0.2">
      <c r="A13" s="9" t="s">
        <v>64</v>
      </c>
      <c r="B13" s="10">
        <v>85</v>
      </c>
      <c r="C13" s="10">
        <v>90</v>
      </c>
      <c r="D13" s="10">
        <v>95</v>
      </c>
      <c r="E13" s="10">
        <v>88</v>
      </c>
      <c r="F13" s="10">
        <v>100</v>
      </c>
      <c r="G13" s="10">
        <v>112</v>
      </c>
      <c r="H13" s="10">
        <v>125</v>
      </c>
      <c r="I13" s="10">
        <v>118</v>
      </c>
      <c r="J13" s="10">
        <v>105</v>
      </c>
      <c r="K13" s="10">
        <v>95</v>
      </c>
      <c r="L13" s="10">
        <v>90</v>
      </c>
      <c r="M13" s="10">
        <v>115</v>
      </c>
      <c r="N13" s="33">
        <f t="shared" si="1"/>
        <v>1218</v>
      </c>
    </row>
    <row r="14" spans="1:14" x14ac:dyDescent="0.2">
      <c r="A14" s="9" t="s">
        <v>65</v>
      </c>
      <c r="B14" s="10">
        <v>55</v>
      </c>
      <c r="C14" s="10">
        <v>0</v>
      </c>
      <c r="D14" s="10">
        <v>0</v>
      </c>
      <c r="E14" s="10">
        <v>0</v>
      </c>
      <c r="F14" s="10">
        <v>0</v>
      </c>
      <c r="G14" s="10">
        <v>120</v>
      </c>
      <c r="H14" s="10">
        <v>0</v>
      </c>
      <c r="I14" s="10">
        <v>0</v>
      </c>
      <c r="J14" s="10">
        <v>0</v>
      </c>
      <c r="K14" s="10">
        <v>75</v>
      </c>
      <c r="L14" s="10">
        <v>0</v>
      </c>
      <c r="M14" s="10">
        <v>80</v>
      </c>
      <c r="N14" s="33">
        <f t="shared" si="1"/>
        <v>330</v>
      </c>
    </row>
    <row r="15" spans="1:14" x14ac:dyDescent="0.2">
      <c r="A15" s="35" t="s">
        <v>66</v>
      </c>
      <c r="B15" s="21">
        <f t="shared" ref="B15:M15" si="2">B9+B10+B11+B12+B13+B14</f>
        <v>1380</v>
      </c>
      <c r="C15" s="21">
        <f t="shared" si="2"/>
        <v>1365</v>
      </c>
      <c r="D15" s="21">
        <f t="shared" si="2"/>
        <v>1460</v>
      </c>
      <c r="E15" s="21">
        <f t="shared" si="2"/>
        <v>1393</v>
      </c>
      <c r="F15" s="21">
        <f t="shared" si="2"/>
        <v>1500</v>
      </c>
      <c r="G15" s="21">
        <f t="shared" si="2"/>
        <v>1850</v>
      </c>
      <c r="H15" s="21">
        <f t="shared" si="2"/>
        <v>1948</v>
      </c>
      <c r="I15" s="21">
        <f t="shared" si="2"/>
        <v>1881</v>
      </c>
      <c r="J15" s="21">
        <f t="shared" si="2"/>
        <v>1663</v>
      </c>
      <c r="K15" s="21">
        <f t="shared" si="2"/>
        <v>1568</v>
      </c>
      <c r="L15" s="21">
        <f t="shared" si="2"/>
        <v>1423</v>
      </c>
      <c r="M15" s="21">
        <f t="shared" si="2"/>
        <v>1950</v>
      </c>
      <c r="N15" s="36">
        <f t="shared" si="1"/>
        <v>19381</v>
      </c>
    </row>
    <row r="16" spans="1:14" x14ac:dyDescent="0.2">
      <c r="A16" s="22" t="s">
        <v>67</v>
      </c>
      <c r="B16" s="23">
        <f t="shared" ref="B16:M16" si="3">B7-B15</f>
        <v>-170</v>
      </c>
      <c r="C16" s="23">
        <f t="shared" si="3"/>
        <v>-100</v>
      </c>
      <c r="D16" s="23">
        <f t="shared" si="3"/>
        <v>-40</v>
      </c>
      <c r="E16" s="23">
        <f t="shared" si="3"/>
        <v>-48</v>
      </c>
      <c r="F16" s="23">
        <f t="shared" si="3"/>
        <v>-10</v>
      </c>
      <c r="G16" s="23">
        <f t="shared" si="3"/>
        <v>-95</v>
      </c>
      <c r="H16" s="23">
        <f t="shared" si="3"/>
        <v>112</v>
      </c>
      <c r="I16" s="23">
        <f t="shared" si="3"/>
        <v>94</v>
      </c>
      <c r="J16" s="23">
        <f t="shared" si="3"/>
        <v>47</v>
      </c>
      <c r="K16" s="23">
        <f t="shared" si="3"/>
        <v>-88</v>
      </c>
      <c r="L16" s="23">
        <f t="shared" si="3"/>
        <v>-55</v>
      </c>
      <c r="M16" s="23">
        <f t="shared" si="3"/>
        <v>130</v>
      </c>
      <c r="N16" s="37">
        <f t="shared" si="1"/>
        <v>-223</v>
      </c>
    </row>
    <row r="17" spans="1:14" x14ac:dyDescent="0.2">
      <c r="A17" s="38" t="s">
        <v>68</v>
      </c>
      <c r="B17" s="39">
        <f>B4+B16</f>
        <v>2330</v>
      </c>
      <c r="C17" s="39">
        <f t="shared" ref="C17:M17" si="4">B17+C16</f>
        <v>2230</v>
      </c>
      <c r="D17" s="39">
        <f t="shared" si="4"/>
        <v>2190</v>
      </c>
      <c r="E17" s="39">
        <f t="shared" si="4"/>
        <v>2142</v>
      </c>
      <c r="F17" s="39">
        <f t="shared" si="4"/>
        <v>2132</v>
      </c>
      <c r="G17" s="39">
        <f t="shared" si="4"/>
        <v>2037</v>
      </c>
      <c r="H17" s="39">
        <f t="shared" si="4"/>
        <v>2149</v>
      </c>
      <c r="I17" s="39">
        <f t="shared" si="4"/>
        <v>2243</v>
      </c>
      <c r="J17" s="39">
        <f t="shared" si="4"/>
        <v>2290</v>
      </c>
      <c r="K17" s="39">
        <f t="shared" si="4"/>
        <v>2202</v>
      </c>
      <c r="L17" s="39">
        <f t="shared" si="4"/>
        <v>2147</v>
      </c>
      <c r="M17" s="39">
        <f t="shared" si="4"/>
        <v>2277</v>
      </c>
      <c r="N17" s="40">
        <f>M17</f>
        <v>2277</v>
      </c>
    </row>
    <row r="18" spans="1:14" x14ac:dyDescent="0.2">
      <c r="A18" s="18" t="s">
        <v>69</v>
      </c>
      <c r="B18" s="11">
        <f>AVERAGE(B15:M15)</f>
        <v>1615.0833333333333</v>
      </c>
      <c r="C18" s="11">
        <f>AVERAGE(B15:M15)</f>
        <v>1615.0833333333333</v>
      </c>
      <c r="D18" s="11">
        <f>AVERAGE(B15:M15)</f>
        <v>1615.0833333333333</v>
      </c>
      <c r="E18" s="11">
        <f>AVERAGE(B15:M15)</f>
        <v>1615.0833333333333</v>
      </c>
      <c r="F18" s="11">
        <f>AVERAGE(B15:M15)</f>
        <v>1615.0833333333333</v>
      </c>
      <c r="G18" s="11">
        <f>AVERAGE(B15:M15)</f>
        <v>1615.0833333333333</v>
      </c>
      <c r="H18" s="11">
        <f>AVERAGE(B15:M15)</f>
        <v>1615.0833333333333</v>
      </c>
      <c r="I18" s="11">
        <f>AVERAGE(B15:M15)</f>
        <v>1615.0833333333333</v>
      </c>
      <c r="J18" s="11">
        <f>AVERAGE(B15:M15)</f>
        <v>1615.0833333333333</v>
      </c>
      <c r="K18" s="11">
        <f>AVERAGE(B15:M15)</f>
        <v>1615.0833333333333</v>
      </c>
      <c r="L18" s="11">
        <f>AVERAGE(B15:M15)</f>
        <v>1615.0833333333333</v>
      </c>
      <c r="M18" s="11">
        <f>AVERAGE(B15:M15)</f>
        <v>1615.0833333333333</v>
      </c>
      <c r="N18" s="15"/>
    </row>
    <row r="19" spans="1:14" x14ac:dyDescent="0.2">
      <c r="A19" s="41" t="s">
        <v>70</v>
      </c>
      <c r="B19" s="42">
        <f>IF(B18=0,"-",ROUND(B17/B18,1))</f>
        <v>1.4</v>
      </c>
      <c r="C19" s="42">
        <f>IF(B18=0,"-",ROUND(C17/B18,1))</f>
        <v>1.4</v>
      </c>
      <c r="D19" s="42">
        <f>IF(B18=0,"-",ROUND(D17/B18,1))</f>
        <v>1.4</v>
      </c>
      <c r="E19" s="42">
        <f>IF(B18=0,"-",ROUND(E17/B18,1))</f>
        <v>1.3</v>
      </c>
      <c r="F19" s="42">
        <f>IF(B18=0,"-",ROUND(F17/B18,1))</f>
        <v>1.3</v>
      </c>
      <c r="G19" s="42">
        <f>IF(B18=0,"-",ROUND(G17/B18,1))</f>
        <v>1.3</v>
      </c>
      <c r="H19" s="42">
        <f>IF(B18=0,"-",ROUND(H17/B18,1))</f>
        <v>1.3</v>
      </c>
      <c r="I19" s="42">
        <f>IF(B18=0,"-",ROUND(I17/B18,1))</f>
        <v>1.4</v>
      </c>
      <c r="J19" s="42">
        <f>IF(B18=0,"-",ROUND(J17/B18,1))</f>
        <v>1.4</v>
      </c>
      <c r="K19" s="42">
        <f>IF(B18=0,"-",ROUND(K17/B18,1))</f>
        <v>1.4</v>
      </c>
      <c r="L19" s="42">
        <f>IF(B18=0,"-",ROUND(L17/B18,1))</f>
        <v>1.3</v>
      </c>
      <c r="M19" s="42">
        <f>IF(B18=0,"-",ROUND(M17/B18,1))</f>
        <v>1.4</v>
      </c>
      <c r="N19" s="15"/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P&amp;L</vt:lpstr>
      <vt:lpstr>Budget vs Actuals</vt:lpstr>
      <vt:lpstr>Cash Flow &amp; Burn 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Prasun Choudhary</cp:lastModifiedBy>
  <cp:revision>0</cp:revision>
  <dcterms:created xsi:type="dcterms:W3CDTF">2026-03-30T12:38:31Z</dcterms:created>
  <dcterms:modified xsi:type="dcterms:W3CDTF">2026-04-18T13:13:44Z</dcterms:modified>
  <dc:language>en-US</dc:language>
</cp:coreProperties>
</file>